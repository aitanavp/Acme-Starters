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blo Murillo\Desktop\"/>
    </mc:Choice>
  </mc:AlternateContent>
  <xr:revisionPtr revIDLastSave="0" documentId="8_{CDCC5D28-629C-4412-8EF1-E35D30084EE7}" xr6:coauthVersionLast="47" xr6:coauthVersionMax="47" xr10:uidLastSave="{00000000-0000-0000-0000-000000000000}"/>
  <bookViews>
    <workbookView xWindow="-120" yWindow="-120" windowWidth="20730" windowHeight="11040" firstSheet="3" activeTab="3"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9" l="1"/>
  <c r="N11" i="19"/>
  <c r="C78" i="14"/>
  <c r="C81" i="14"/>
  <c r="C82" i="14"/>
  <c r="C83" i="14"/>
  <c r="C79" i="14"/>
  <c r="C74" i="14"/>
  <c r="O36" i="14"/>
  <c r="O37" i="14"/>
  <c r="K59" i="14"/>
  <c r="C62" i="14"/>
  <c r="C57" i="14"/>
  <c r="C47" i="14"/>
  <c r="K18" i="14"/>
  <c r="C41" i="14"/>
  <c r="C19" i="14"/>
  <c r="C22" i="14"/>
  <c r="K22" i="14"/>
  <c r="N22" i="14"/>
  <c r="O22" i="14"/>
  <c r="C14" i="14"/>
  <c r="K14" i="14"/>
  <c r="N14" i="14"/>
  <c r="O14" i="14"/>
  <c r="C13" i="14"/>
  <c r="K13" i="14"/>
  <c r="K12"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c r="N11" i="20"/>
  <c r="E6" i="20"/>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K11" i="19"/>
  <c r="C11" i="19"/>
  <c r="C12" i="14"/>
  <c r="N12" i="14"/>
  <c r="O12" i="14"/>
  <c r="N13" i="14"/>
  <c r="O13" i="14"/>
  <c r="C15" i="14"/>
  <c r="K15" i="14"/>
  <c r="N15" i="14"/>
  <c r="O15" i="14"/>
  <c r="C16" i="14"/>
  <c r="K16" i="14"/>
  <c r="N16" i="14"/>
  <c r="O16" i="14"/>
  <c r="C17" i="14"/>
  <c r="K17" i="14"/>
  <c r="N17" i="14"/>
  <c r="O17" i="14"/>
  <c r="C18" i="14"/>
  <c r="N18" i="14"/>
  <c r="O18" i="14"/>
  <c r="K19" i="14"/>
  <c r="N19" i="14"/>
  <c r="O19" i="14"/>
  <c r="C20" i="14"/>
  <c r="K20" i="14"/>
  <c r="N20" i="14"/>
  <c r="O20" i="14"/>
  <c r="C21" i="14"/>
  <c r="K21" i="14"/>
  <c r="N21" i="14"/>
  <c r="O21" i="14"/>
  <c r="C23" i="14"/>
  <c r="K23" i="14"/>
  <c r="N23" i="14"/>
  <c r="O23" i="14"/>
  <c r="C24" i="14"/>
  <c r="K24" i="14"/>
  <c r="N24" i="14"/>
  <c r="O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N31" i="14"/>
  <c r="O31" i="14"/>
  <c r="C32" i="14"/>
  <c r="K32" i="14"/>
  <c r="N32" i="14"/>
  <c r="O32" i="14"/>
  <c r="C33" i="14"/>
  <c r="K33" i="14"/>
  <c r="N33" i="14"/>
  <c r="O33" i="14"/>
  <c r="C34" i="14"/>
  <c r="K34" i="14"/>
  <c r="N34" i="14"/>
  <c r="O34" i="14"/>
  <c r="C35" i="14"/>
  <c r="K35" i="14"/>
  <c r="N35" i="14"/>
  <c r="O35" i="14"/>
  <c r="C36" i="14"/>
  <c r="K36" i="14"/>
  <c r="N36" i="14"/>
  <c r="C37" i="14"/>
  <c r="K37" i="14"/>
  <c r="N37" i="14"/>
  <c r="C38" i="14"/>
  <c r="K38" i="14"/>
  <c r="N38" i="14"/>
  <c r="O38" i="14"/>
  <c r="C39" i="14"/>
  <c r="K39" i="14"/>
  <c r="N39" i="14"/>
  <c r="O39" i="14"/>
  <c r="C40" i="14"/>
  <c r="K40" i="14"/>
  <c r="N40" i="14"/>
  <c r="O40" i="14"/>
  <c r="K41" i="14"/>
  <c r="N41" i="14"/>
  <c r="O41" i="14"/>
  <c r="C42" i="14"/>
  <c r="K42" i="14"/>
  <c r="N42" i="14"/>
  <c r="O42" i="14"/>
  <c r="C43" i="14"/>
  <c r="K43" i="14"/>
  <c r="N43" i="14"/>
  <c r="O43" i="14"/>
  <c r="C44" i="14"/>
  <c r="K44" i="14"/>
  <c r="N44" i="14"/>
  <c r="O44" i="14"/>
  <c r="C45" i="14"/>
  <c r="K45" i="14"/>
  <c r="N45" i="14"/>
  <c r="O45" i="14"/>
  <c r="C46" i="14"/>
  <c r="K46" i="14"/>
  <c r="N46" i="14"/>
  <c r="O46"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K57" i="14"/>
  <c r="N57" i="14"/>
  <c r="O57" i="14"/>
  <c r="C58" i="14"/>
  <c r="K58" i="14"/>
  <c r="N58" i="14"/>
  <c r="O58" i="14"/>
  <c r="C59" i="14"/>
  <c r="N59" i="14"/>
  <c r="O59" i="14"/>
  <c r="C60" i="14"/>
  <c r="K60" i="14"/>
  <c r="N60" i="14"/>
  <c r="O60" i="14"/>
  <c r="C61" i="14"/>
  <c r="K61" i="14"/>
  <c r="N61" i="14"/>
  <c r="O61"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K74" i="14"/>
  <c r="N74" i="14"/>
  <c r="O74" i="14"/>
  <c r="C75" i="14"/>
  <c r="K75" i="14"/>
  <c r="N75" i="14"/>
  <c r="O75" i="14"/>
  <c r="C76" i="14"/>
  <c r="K76" i="14"/>
  <c r="N76" i="14"/>
  <c r="O76" i="14"/>
  <c r="C77" i="14"/>
  <c r="K77" i="14"/>
  <c r="N77" i="14"/>
  <c r="O77" i="14"/>
  <c r="K78" i="14"/>
  <c r="N78" i="14"/>
  <c r="O78" i="14"/>
  <c r="K79" i="14"/>
  <c r="N79" i="14"/>
  <c r="O79" i="14"/>
  <c r="K80" i="14"/>
  <c r="N80" i="14"/>
  <c r="O80" i="14"/>
  <c r="K81" i="14"/>
  <c r="N81" i="14"/>
  <c r="O81" i="14"/>
  <c r="K82" i="14"/>
  <c r="N82" i="14"/>
  <c r="O82"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6" i="19" l="1"/>
  <c r="E7" i="19"/>
  <c r="E7" i="14"/>
  <c r="E6" i="14"/>
</calcChain>
</file>

<file path=xl/sharedStrings.xml><?xml version="1.0" encoding="utf-8"?>
<sst xmlns="http://schemas.openxmlformats.org/spreadsheetml/2006/main" count="585" uniqueCount="168">
  <si>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</si>
  <si>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</si>
  <si>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</si>
  <si>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</si>
  <si>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</si>
  <si>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</si>
  <si>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</si>
  <si>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</si>
  <si>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</si>
  <si>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</si>
  <si>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</si>
  <si>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</si>
  <si>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</si>
  <si>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</si>
  <si>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</si>
  <si>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</si>
  <si>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</si>
  <si>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</si>
  <si>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</si>
  <si>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</si>
  <si>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</si>
  <si>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</si>
  <si>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</si>
  <si>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</si>
  <si>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</si>
  <si>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</si>
  <si>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</si>
  <si>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</si>
  <si>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</si>
  <si>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</si>
  <si>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</si>
  <si>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1</t>
  </si>
  <si>
    <t>Manager</t>
  </si>
  <si>
    <t>Initialise repository</t>
  </si>
  <si>
    <t>Initialise the workgroup repository at GitHub</t>
  </si>
  <si>
    <t>Write report</t>
  </si>
  <si>
    <t>Prepare a chartering report</t>
  </si>
  <si>
    <t>Development</t>
  </si>
  <si>
    <t>Student 3</t>
  </si>
  <si>
    <t>Developer</t>
  </si>
  <si>
    <t>Customise the starter</t>
  </si>
  <si>
    <t xml:space="preserve">Customise the starter project </t>
  </si>
  <si>
    <t>T0003/D</t>
  </si>
  <si>
    <t>Customise key files</t>
  </si>
  <si>
    <t>Create the databases</t>
  </si>
  <si>
    <t>Launch the project</t>
  </si>
  <si>
    <t>Make plans</t>
  </si>
  <si>
    <t xml:space="preserve">Instantiate, share and complete a planning document </t>
  </si>
  <si>
    <t>Implement feature</t>
  </si>
  <si>
    <t>S1/1) Implement the data model that is sketched in file “Model-C01.uxf”</t>
  </si>
  <si>
    <t>T0008/D</t>
  </si>
  <si>
    <t>Implement entites and roles and their relationships</t>
  </si>
  <si>
    <t>Implement restrictions and validations</t>
  </si>
  <si>
    <t>Student 2</t>
  </si>
  <si>
    <t>S2/1) Implement the data model that is sketched in file “Model-C02.uxf”.</t>
  </si>
  <si>
    <t>T0011/D</t>
  </si>
  <si>
    <t>S3/1) Implement the data model that is sketched in file “Model-C03.uxf”.</t>
  </si>
  <si>
    <t>T0014/D</t>
  </si>
  <si>
    <t>Student 4</t>
  </si>
  <si>
    <t>S4/1) Implement the data model that is sketched in file “Model-C04.uxf”.</t>
  </si>
  <si>
    <t>T0017/D</t>
  </si>
  <si>
    <t>Student 5</t>
  </si>
  <si>
    <t>S5/1) Implement the data model that is sketched in file “Model-05.uxf”.</t>
  </si>
  <si>
    <t>T0020/D</t>
  </si>
  <si>
    <t>Completed</t>
  </si>
  <si>
    <t>Create the sample data required to create two administrators</t>
  </si>
  <si>
    <t>ALL</t>
  </si>
  <si>
    <t>Delete "//" in custom validations &amp; fixed Temporal/Date</t>
  </si>
  <si>
    <t>S1/2) List published inventions (Principal)</t>
  </si>
  <si>
    <t>S1/3)  Acquire Inventor role (authenticated Principal)</t>
  </si>
  <si>
    <t>S1/4) CRUD Inventions and Parts (Inventor)</t>
  </si>
  <si>
    <t>S1/5) UI in English and Spanish</t>
  </si>
  <si>
    <t>Test feature informally</t>
  </si>
  <si>
    <t>S1/6) Test the requirements</t>
  </si>
  <si>
    <t>Revision</t>
  </si>
  <si>
    <t>Student</t>
  </si>
  <si>
    <t>Attend lecture</t>
  </si>
  <si>
    <t>Follow-up</t>
  </si>
  <si>
    <t>Implement the constraints that are sketched in "Model-CG.uxf"</t>
  </si>
  <si>
    <t>Make re-plannings</t>
  </si>
  <si>
    <t>Re-plan report</t>
  </si>
  <si>
    <t>Theory class</t>
  </si>
  <si>
    <t>S2/2) Browse campaigns</t>
  </si>
  <si>
    <t>S2/3) Spokesperson role</t>
  </si>
  <si>
    <t>S2/4) Manage campaigns</t>
  </si>
  <si>
    <t>S2/5) UI internationalization</t>
  </si>
  <si>
    <t>S2/6) Test data</t>
  </si>
  <si>
    <t>S3/2) List Strategies, Tactics and frundaiser's Profile</t>
  </si>
  <si>
    <t>S3/3) What any authenticathed principal must be able to do</t>
  </si>
  <si>
    <t>S3/4) What a principal with role fundraiser must be able to do</t>
  </si>
  <si>
    <t>S3/5) UI internationalised</t>
  </si>
  <si>
    <t xml:space="preserve">S3/6) Sample data to test requirements </t>
  </si>
  <si>
    <t>S5/2) Viewing and management of published audit reports</t>
  </si>
  <si>
    <t>S5/3) Role acquisition and profile update for auditors</t>
  </si>
  <si>
    <t>S5/4) Audit report management and publication process</t>
  </si>
  <si>
    <t>S5/5) UI internationalised</t>
  </si>
  <si>
    <t xml:space="preserve">S5/6) Sample data to test requirements </t>
  </si>
  <si>
    <t>S4/2) List Sponsorship, Donations published</t>
  </si>
  <si>
    <t>S4/3) Acquire sponsor role</t>
  </si>
  <si>
    <t>S4/4) CRUD of Sponsorship</t>
  </si>
  <si>
    <t>S4/5) UI internationalised</t>
  </si>
  <si>
    <t>S4/6) Sample data to test requirements</t>
  </si>
  <si>
    <t>Other (Describe)</t>
  </si>
  <si>
    <t>Update Workspace to REV3</t>
  </si>
  <si>
    <t>Delete ENFORCE_FUTURE &amp; dates validation only when publishing</t>
  </si>
  <si>
    <t>Fix ticker pattern</t>
  </si>
  <si>
    <t>Fix validations in student 3</t>
  </si>
  <si>
    <t>Fix date validation</t>
  </si>
  <si>
    <t>Fix getMonthsActive</t>
  </si>
  <si>
    <t>Fix  internationalisation in Boolean and Select</t>
  </si>
  <si>
    <t>Fix validations in student 2</t>
  </si>
  <si>
    <t>Deliverable D02</t>
  </si>
  <si>
    <t>Rewrite requirements in analysis report and data model</t>
  </si>
  <si>
    <t xml:space="preserve">Implement role Manager </t>
  </si>
  <si>
    <t>Implement entity Project + additional constraints (keywords and dates)</t>
  </si>
  <si>
    <t>Implement squad ProjectMember</t>
  </si>
  <si>
    <t>manager: CRUD projects + publish Projects</t>
  </si>
  <si>
    <t>manager: create projectmembers</t>
  </si>
  <si>
    <t>projectmember: Display projects + components</t>
  </si>
  <si>
    <t>projectmember: add components to a project</t>
  </si>
  <si>
    <t>Dashboard + effort</t>
  </si>
  <si>
    <t>Sponsor/auditor attaching to a project</t>
  </si>
  <si>
    <t>Advertisement</t>
  </si>
  <si>
    <t>Sample and errata for Manager</t>
  </si>
  <si>
    <t>Sample and errata for Project</t>
  </si>
  <si>
    <t>Link components to projects on sample and errata (key:project on each component's csv)</t>
  </si>
  <si>
    <t>Sample and errata for ProjectMembership and ProjectMember</t>
  </si>
  <si>
    <t>ManagerDashboard feature</t>
  </si>
  <si>
    <t>Deliverable D03</t>
  </si>
  <si>
    <t>Internal data</t>
  </si>
  <si>
    <t>This sheet contains internal data that are used elsewhere to perform some checks and computations.  Please, do not modify it al all.</t>
  </si>
  <si>
    <t>Prospective assignees</t>
  </si>
  <si>
    <t>Statuses</t>
  </si>
  <si>
    <t>Planned</t>
  </si>
  <si>
    <t>Ongoing</t>
  </si>
  <si>
    <t>Finished</t>
  </si>
  <si>
    <t>Moments</t>
  </si>
  <si>
    <t>2100/31/12  23:59:59</t>
  </si>
  <si>
    <t>Roles</t>
  </si>
  <si>
    <t>Cost</t>
  </si>
  <si>
    <t>Tasks…</t>
  </si>
  <si>
    <t>Study and train</t>
  </si>
  <si>
    <t>Attend work meeting</t>
  </si>
  <si>
    <t>Supervise task</t>
  </si>
  <si>
    <t>Analyst</t>
  </si>
  <si>
    <t>Elicit requirements</t>
  </si>
  <si>
    <t>Define features</t>
  </si>
  <si>
    <t>Create domain model</t>
  </si>
  <si>
    <t>Create dev. config.</t>
  </si>
  <si>
    <t>Tester</t>
  </si>
  <si>
    <t>Check deliverable</t>
  </si>
  <si>
    <t>Check task</t>
  </si>
  <si>
    <t>Test feature formally</t>
  </si>
  <si>
    <t>Test performance formally</t>
  </si>
  <si>
    <t>Operator</t>
  </si>
  <si>
    <t>Prepare dep. platf.</t>
  </si>
  <si>
    <t>Package deliverable</t>
  </si>
  <si>
    <t>Upload deliverable</t>
  </si>
  <si>
    <t>Deploy application</t>
  </si>
  <si>
    <t>Keep application running</t>
  </si>
  <si>
    <t>Other</t>
  </si>
  <si>
    <t>Task types</t>
  </si>
  <si>
    <t>Key</t>
  </si>
  <si>
    <t>M</t>
  </si>
  <si>
    <t>D</t>
  </si>
  <si>
    <t>QA</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</si>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</sst>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u/>
      <sz val="11"/>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2">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164" fontId="5" fillId="6" borderId="13" xfId="0" applyNumberFormat="1" applyFont="1" applyFill="1" applyBorder="1"/>
    <xf numFmtId="0" fontId="5" fillId="4" borderId="13" xfId="0" applyFont="1" applyFill="1" applyBorder="1" applyAlignment="1">
      <alignment horizontal="center"/>
    </xf>
    <xf numFmtId="0" fontId="5" fillId="4" borderId="13" xfId="0" applyFont="1" applyFill="1" applyBorder="1"/>
    <xf numFmtId="0" fontId="1" fillId="2" borderId="0" xfId="0" applyFont="1" applyFill="1" applyAlignment="1">
      <alignment horizontal="center" vertical="center"/>
    </xf>
    <xf numFmtId="0" fontId="0" fillId="7" borderId="0" xfId="0" applyFill="1" applyAlignment="1">
      <alignment horizontal="left" vertical="center"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election activeCell="E17" sqref="E17"/>
    </sheetView>
  </sheetViews>
  <sheetFormatPr baseColWidth="10" defaultColWidth="9" defaultRowHeight="15" x14ac:dyDescent="0.25"/>
  <cols>
    <col min="1" max="16384" width="9" style="1"/>
  </cols>
  <sheetData>
    <row r="2" spans="2:10" x14ac:dyDescent="0.25">
      <c r="B2" s="56" t="s">
        <v>0</v>
      </c>
      <c r="C2" s="56"/>
      <c r="D2" s="56"/>
      <c r="E2" s="56"/>
      <c r="F2" s="56"/>
      <c r="G2" s="56"/>
      <c r="H2" s="56"/>
      <c r="I2" s="56"/>
      <c r="J2" s="56"/>
    </row>
    <row r="4" spans="2:10" x14ac:dyDescent="0.25">
      <c r="B4" s="57" t="s">
        <v>1</v>
      </c>
      <c r="C4" s="60"/>
      <c r="D4" s="60"/>
      <c r="E4" s="60"/>
      <c r="F4" s="60"/>
      <c r="G4" s="60"/>
      <c r="H4" s="60"/>
      <c r="I4" s="60"/>
      <c r="J4" s="60"/>
    </row>
    <row r="5" spans="2:10" x14ac:dyDescent="0.25">
      <c r="B5" s="60"/>
      <c r="C5" s="60"/>
      <c r="D5" s="60"/>
      <c r="E5" s="60"/>
      <c r="F5" s="60"/>
      <c r="G5" s="60"/>
      <c r="H5" s="60"/>
      <c r="I5" s="60"/>
      <c r="J5" s="60"/>
    </row>
    <row r="6" spans="2:10" x14ac:dyDescent="0.25">
      <c r="B6" s="60"/>
      <c r="C6" s="60"/>
      <c r="D6" s="60"/>
      <c r="E6" s="60"/>
      <c r="F6" s="60"/>
      <c r="G6" s="60"/>
      <c r="H6" s="60"/>
      <c r="I6" s="60"/>
      <c r="J6" s="60"/>
    </row>
    <row r="7" spans="2:10" x14ac:dyDescent="0.25">
      <c r="B7" s="60"/>
      <c r="C7" s="60"/>
      <c r="D7" s="60"/>
      <c r="E7" s="60"/>
      <c r="F7" s="60"/>
      <c r="G7" s="60"/>
      <c r="H7" s="60"/>
      <c r="I7" s="60"/>
      <c r="J7" s="60"/>
    </row>
    <row r="8" spans="2:10" x14ac:dyDescent="0.25">
      <c r="B8" s="60"/>
      <c r="C8" s="60"/>
      <c r="D8" s="60"/>
      <c r="E8" s="60"/>
      <c r="F8" s="60"/>
      <c r="G8" s="60"/>
      <c r="H8" s="60"/>
      <c r="I8" s="60"/>
      <c r="J8" s="60"/>
    </row>
    <row r="9" spans="2:10" x14ac:dyDescent="0.25">
      <c r="B9" s="60"/>
      <c r="C9" s="60"/>
      <c r="D9" s="60"/>
      <c r="E9" s="60"/>
      <c r="F9" s="60"/>
      <c r="G9" s="60"/>
      <c r="H9" s="60"/>
      <c r="I9" s="60"/>
      <c r="J9" s="60"/>
    </row>
    <row r="10" spans="2:10" x14ac:dyDescent="0.25">
      <c r="B10" s="60"/>
      <c r="C10" s="60"/>
      <c r="D10" s="60"/>
      <c r="E10" s="60"/>
      <c r="F10" s="60"/>
      <c r="G10" s="60"/>
      <c r="H10" s="60"/>
      <c r="I10" s="60"/>
      <c r="J10" s="60"/>
    </row>
    <row r="11" spans="2:10" x14ac:dyDescent="0.25">
      <c r="B11" s="60"/>
      <c r="C11" s="60"/>
      <c r="D11" s="60"/>
      <c r="E11" s="60"/>
      <c r="F11" s="60"/>
      <c r="G11" s="60"/>
      <c r="H11" s="60"/>
      <c r="I11" s="60"/>
      <c r="J11" s="60"/>
    </row>
    <row r="12" spans="2:10" x14ac:dyDescent="0.25">
      <c r="B12" s="60"/>
      <c r="C12" s="60"/>
      <c r="D12" s="60"/>
      <c r="E12" s="60"/>
      <c r="F12" s="60"/>
      <c r="G12" s="60"/>
      <c r="H12" s="60"/>
      <c r="I12" s="60"/>
      <c r="J12" s="60"/>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election activeCell="B9" sqref="B9"/>
    </sheetView>
  </sheetViews>
  <sheetFormatPr baseColWidth="10" defaultColWidth="9.28515625" defaultRowHeight="15" x14ac:dyDescent="0.25"/>
  <sheetData>
    <row r="2" spans="2:10" x14ac:dyDescent="0.25">
      <c r="B2" s="56" t="s">
        <v>2</v>
      </c>
      <c r="C2" s="56"/>
      <c r="D2" s="56"/>
      <c r="E2" s="56"/>
      <c r="F2" s="56"/>
      <c r="G2" s="56"/>
      <c r="H2" s="56"/>
      <c r="I2" s="56"/>
      <c r="J2" s="56"/>
    </row>
    <row r="3" spans="2:10" x14ac:dyDescent="0.25">
      <c r="B3" s="2"/>
      <c r="C3" s="1"/>
      <c r="D3" s="1"/>
      <c r="E3" s="1"/>
      <c r="F3" s="1"/>
      <c r="G3" s="1"/>
      <c r="H3" s="1"/>
      <c r="I3" s="1"/>
      <c r="J3" s="1"/>
    </row>
    <row r="4" spans="2:10" ht="15" customHeight="1" x14ac:dyDescent="0.25">
      <c r="B4" s="57" t="s">
        <v>3</v>
      </c>
      <c r="C4" s="57"/>
      <c r="D4" s="57"/>
      <c r="E4" s="57"/>
      <c r="F4" s="57"/>
      <c r="G4" s="57"/>
      <c r="H4" s="57"/>
      <c r="I4" s="57"/>
      <c r="J4" s="57"/>
    </row>
    <row r="5" spans="2:10" x14ac:dyDescent="0.25">
      <c r="B5" s="57"/>
      <c r="C5" s="57"/>
      <c r="D5" s="57"/>
      <c r="E5" s="57"/>
      <c r="F5" s="57"/>
      <c r="G5" s="57"/>
      <c r="H5" s="57"/>
      <c r="I5" s="57"/>
      <c r="J5" s="57"/>
    </row>
    <row r="6" spans="2:10" x14ac:dyDescent="0.25">
      <c r="B6" s="57"/>
      <c r="C6" s="57"/>
      <c r="D6" s="57"/>
      <c r="E6" s="57"/>
      <c r="F6" s="57"/>
      <c r="G6" s="57"/>
      <c r="H6" s="57"/>
      <c r="I6" s="57"/>
      <c r="J6" s="57"/>
    </row>
    <row r="7" spans="2:10" x14ac:dyDescent="0.25">
      <c r="B7" s="1"/>
      <c r="C7" s="1"/>
      <c r="D7" s="1"/>
      <c r="E7" s="1"/>
      <c r="F7" s="1"/>
      <c r="G7" s="1"/>
      <c r="H7" s="1"/>
      <c r="I7" s="1"/>
      <c r="J7" s="1"/>
    </row>
    <row r="8" spans="2:10" x14ac:dyDescent="0.25">
      <c r="B8" s="39"/>
      <c r="C8" s="40" t="s">
        <v>4</v>
      </c>
      <c r="D8" s="1"/>
      <c r="E8" s="1"/>
      <c r="F8" s="1"/>
      <c r="G8" s="1"/>
      <c r="H8" s="1"/>
      <c r="I8" s="1"/>
      <c r="J8" s="1"/>
    </row>
    <row r="9" spans="2:10" x14ac:dyDescent="0.25">
      <c r="B9" s="4"/>
      <c r="C9" s="61" t="s">
        <v>5</v>
      </c>
      <c r="D9" s="61"/>
      <c r="E9" s="61"/>
      <c r="F9" s="61"/>
      <c r="G9" s="61"/>
      <c r="H9" s="61"/>
      <c r="I9" s="61"/>
      <c r="J9" s="61"/>
    </row>
    <row r="10" spans="2:10" x14ac:dyDescent="0.25">
      <c r="B10" s="49"/>
      <c r="C10" s="61" t="s">
        <v>6</v>
      </c>
      <c r="D10" s="61"/>
      <c r="E10" s="61"/>
      <c r="F10" s="61"/>
      <c r="G10" s="61"/>
      <c r="H10" s="61"/>
      <c r="I10" s="61"/>
      <c r="J10" s="61"/>
    </row>
    <row r="11" spans="2:10" x14ac:dyDescent="0.25">
      <c r="B11" s="50"/>
      <c r="C11" s="48" t="s">
        <v>7</v>
      </c>
      <c r="D11" s="48"/>
      <c r="E11" s="48"/>
      <c r="F11" s="48"/>
      <c r="G11" s="48"/>
      <c r="H11" s="48"/>
      <c r="I11" s="48"/>
      <c r="J11" s="48"/>
    </row>
    <row r="12" spans="2:10" x14ac:dyDescent="0.25">
      <c r="B12" s="3"/>
      <c r="C12" s="61" t="s">
        <v>8</v>
      </c>
      <c r="D12" s="61"/>
      <c r="E12" s="61"/>
      <c r="F12" s="61"/>
      <c r="G12" s="61"/>
      <c r="H12" s="61"/>
      <c r="I12" s="61"/>
      <c r="J12" s="61"/>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0"/>
  <sheetViews>
    <sheetView zoomScale="98" zoomScaleNormal="85" workbookViewId="0">
      <pane ySplit="10" topLeftCell="A63" activePane="bottomLeft" state="frozen"/>
      <selection pane="bottomLeft" activeCell="C78" sqref="C78"/>
    </sheetView>
  </sheetViews>
  <sheetFormatPr baseColWidth="10" defaultColWidth="9.28515625" defaultRowHeight="15" x14ac:dyDescent="0.25"/>
  <cols>
    <col min="3" max="15" width="18.7109375" customWidth="1"/>
    <col min="16" max="16" width="64.5703125" customWidth="1"/>
  </cols>
  <sheetData>
    <row r="2" spans="2:16" x14ac:dyDescent="0.25">
      <c r="C2" s="56" t="s">
        <v>9</v>
      </c>
      <c r="D2" s="56"/>
      <c r="E2" s="56"/>
      <c r="F2" s="56"/>
      <c r="G2" s="56"/>
      <c r="H2" s="56"/>
      <c r="I2" s="56"/>
      <c r="J2" s="56"/>
      <c r="K2" s="56"/>
      <c r="L2" s="56"/>
      <c r="M2" s="56"/>
      <c r="N2" s="56"/>
      <c r="O2" s="56"/>
      <c r="P2" s="56"/>
    </row>
    <row r="4" spans="2:16" ht="15" customHeight="1" x14ac:dyDescent="0.25">
      <c r="C4" s="57" t="s">
        <v>10</v>
      </c>
      <c r="D4" s="57"/>
      <c r="E4" s="57"/>
      <c r="F4" s="57"/>
      <c r="G4" s="57"/>
      <c r="H4" s="57"/>
      <c r="I4" s="57"/>
      <c r="J4" s="57"/>
      <c r="K4" s="57"/>
      <c r="L4" s="57"/>
      <c r="M4" s="57"/>
      <c r="N4" s="57"/>
      <c r="O4" s="57"/>
      <c r="P4" s="57"/>
    </row>
    <row r="5" spans="2:16" x14ac:dyDescent="0.25">
      <c r="C5" s="5"/>
      <c r="D5" s="5"/>
      <c r="E5" s="5"/>
      <c r="F5" s="5"/>
      <c r="G5" s="5"/>
      <c r="H5" s="5"/>
      <c r="I5" s="5"/>
      <c r="J5" s="5"/>
      <c r="K5" s="5"/>
      <c r="L5" s="5"/>
      <c r="M5" s="5"/>
      <c r="N5" s="5"/>
      <c r="O5" s="5"/>
      <c r="P5" s="5"/>
    </row>
    <row r="6" spans="2:16" x14ac:dyDescent="0.25">
      <c r="C6" s="58" t="s">
        <v>11</v>
      </c>
      <c r="D6" s="10" t="s">
        <v>12</v>
      </c>
      <c r="E6" s="35">
        <f>SUM(N11:N110)</f>
        <v>1961.25</v>
      </c>
      <c r="F6" s="5"/>
      <c r="G6" s="5"/>
      <c r="H6" s="5"/>
      <c r="I6" s="5"/>
      <c r="J6" s="5"/>
      <c r="K6" s="5"/>
      <c r="L6" s="5"/>
      <c r="M6" s="5"/>
      <c r="N6" s="5"/>
      <c r="O6" s="5"/>
      <c r="P6" s="5"/>
    </row>
    <row r="7" spans="2:16" x14ac:dyDescent="0.25">
      <c r="C7" s="58"/>
      <c r="D7" s="11" t="s">
        <v>13</v>
      </c>
      <c r="E7" s="36">
        <f>SUM(O11:O110)</f>
        <v>1944.4199999999998</v>
      </c>
      <c r="J7" s="37"/>
    </row>
    <row r="9" spans="2:16" x14ac:dyDescent="0.25">
      <c r="B9" s="6"/>
      <c r="C9" s="7"/>
      <c r="D9" s="7"/>
      <c r="E9" s="7"/>
      <c r="F9" s="7"/>
      <c r="G9" s="7"/>
      <c r="H9" s="7"/>
      <c r="I9" s="59" t="s">
        <v>14</v>
      </c>
      <c r="J9" s="59"/>
      <c r="K9" s="7"/>
      <c r="L9" s="59" t="s">
        <v>15</v>
      </c>
      <c r="M9" s="59"/>
      <c r="N9" s="59" t="s">
        <v>16</v>
      </c>
      <c r="O9" s="59"/>
      <c r="P9" s="7"/>
    </row>
    <row r="10" spans="2:16" ht="15.75" thickBot="1" x14ac:dyDescent="0.3">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x14ac:dyDescent="0.3">
      <c r="B11" s="41">
        <v>1</v>
      </c>
      <c r="C11" s="42" t="str">
        <f>IF(ISBLANK(D11), "", _xlfn.CONCAT("T", TEXT(B11, "0000"), "/", VLOOKUP(D11, Internal!$B$35:C$39, 2, FALSE), IF(OR(D11="QA", D11="Revision"), _xlfn.CONCAT("/", H11), "")))</f>
        <v>T0001/M</v>
      </c>
      <c r="D11" s="44" t="s">
        <v>30</v>
      </c>
      <c r="E11" s="43" t="s">
        <v>31</v>
      </c>
      <c r="F11" s="43" t="s">
        <v>32</v>
      </c>
      <c r="G11" s="44" t="s">
        <v>33</v>
      </c>
      <c r="H11" s="43"/>
      <c r="I11" s="46">
        <v>46062.520833333336</v>
      </c>
      <c r="J11" s="46">
        <v>46062.534722222219</v>
      </c>
      <c r="K11" s="45" t="str">
        <f ca="1">IF(OR(I11="",J11=""),"",IF(AND(J11&lt;&gt;"",I11&gt;=NOW()),"Planned",IF(AND(J11&lt;&gt;"",J11&lt;NOW()),"Completed","Ongoing")))</f>
        <v>Completed</v>
      </c>
      <c r="L11" s="47">
        <v>0.5</v>
      </c>
      <c r="M11" s="47">
        <v>0.33300000000000002</v>
      </c>
      <c r="N11" s="45">
        <f>IF(ISBLANK(L11), "", L11*VLOOKUP($F11,Internal!$B$26:$C$32,2,FALSE))</f>
        <v>25</v>
      </c>
      <c r="O11" s="45">
        <f>IF(ISBLANK(M11), "", M11*VLOOKUP($F11,Internal!$B$26:$C$32,2,FALSE))</f>
        <v>16.650000000000002</v>
      </c>
      <c r="P11" s="44" t="s">
        <v>34</v>
      </c>
    </row>
    <row r="12" spans="2:16" ht="15.75" thickBot="1" x14ac:dyDescent="0.3">
      <c r="B12" s="41">
        <v>2</v>
      </c>
      <c r="C12" s="42" t="str">
        <f>IF(ISBLANK(D12), "", _xlfn.CONCAT("T", TEXT(B12, "0000"), "/", VLOOKUP(D12, Internal!$B$35:C$39, 2, FALSE), IF(OR(D12="QA", D12="Revision"), _xlfn.CONCAT("/", H12), "")))</f>
        <v>T0002/M</v>
      </c>
      <c r="D12" s="44" t="s">
        <v>30</v>
      </c>
      <c r="E12" s="43" t="s">
        <v>31</v>
      </c>
      <c r="F12" s="43" t="s">
        <v>32</v>
      </c>
      <c r="G12" s="44" t="s">
        <v>35</v>
      </c>
      <c r="H12" s="43"/>
      <c r="I12" s="46">
        <v>46062.541666666664</v>
      </c>
      <c r="J12" s="46">
        <v>46062.583333333336</v>
      </c>
      <c r="K12" s="45" t="str">
        <f ca="1">IF(OR(I12="",J12=""),"",IF(AND(J12&lt;&gt;"",I12&gt;=NOW()),"Planned",IF(AND(J12&lt;&gt;"",J12&lt;NOW()),"Completed","Ongoing")))</f>
        <v>Completed</v>
      </c>
      <c r="L12" s="47">
        <v>1</v>
      </c>
      <c r="M12" s="47">
        <v>1</v>
      </c>
      <c r="N12" s="45">
        <f>IF(ISBLANK(L12), "", L12*VLOOKUP($F12,Internal!$B$26:$C$32,2,FALSE))</f>
        <v>50</v>
      </c>
      <c r="O12" s="45">
        <f>IF(ISBLANK(M12), "", M12*VLOOKUP($F12,Internal!$B$26:$C$32,2,FALSE))</f>
        <v>50</v>
      </c>
      <c r="P12" s="44" t="s">
        <v>36</v>
      </c>
    </row>
    <row r="13" spans="2:16" ht="15.75" thickBot="1" x14ac:dyDescent="0.3">
      <c r="B13" s="41">
        <v>3</v>
      </c>
      <c r="C13" s="42" t="str">
        <f>IF(ISBLANK(D13), "", _xlfn.CONCAT("T", TEXT(B13, "0000"), "/", VLOOKUP(D13, Internal!$B$35:C$39, 2, FALSE), IF(OR(D13="QA", D13="Revision"), _xlfn.CONCAT("/", H13), "")))</f>
        <v>T0003/D</v>
      </c>
      <c r="D13" s="44" t="s">
        <v>37</v>
      </c>
      <c r="E13" s="43" t="s">
        <v>38</v>
      </c>
      <c r="F13" s="43" t="s">
        <v>39</v>
      </c>
      <c r="G13" s="44" t="s">
        <v>40</v>
      </c>
      <c r="H13" s="43"/>
      <c r="I13" s="46">
        <v>46063.458333333336</v>
      </c>
      <c r="J13" s="46">
        <v>46063.604166666664</v>
      </c>
      <c r="K13" s="45" t="str">
        <f ca="1">IF(OR(I13="",J13=""),"",IF(AND(J13&lt;&gt;"",I13&gt;=NOW()),"Planned",IF(AND(J13&lt;&gt;"",J13&lt;NOW()),"Completed","Ongoing")))</f>
        <v>Completed</v>
      </c>
      <c r="L13" s="47">
        <v>2</v>
      </c>
      <c r="M13" s="47">
        <v>3.5</v>
      </c>
      <c r="N13" s="45">
        <f>IF(ISBLANK(L13), "", L13*VLOOKUP($F13,Internal!$B$26:$C$32,2,FALSE))</f>
        <v>50</v>
      </c>
      <c r="O13" s="45">
        <f>IF(ISBLANK(M13), "", M13*VLOOKUP($F13,Internal!$B$26:$C$32,2,FALSE))</f>
        <v>87.5</v>
      </c>
      <c r="P13" s="44" t="s">
        <v>41</v>
      </c>
    </row>
    <row r="14" spans="2:16" ht="15.75" thickBot="1" x14ac:dyDescent="0.3">
      <c r="B14" s="41">
        <v>4</v>
      </c>
      <c r="C14" s="42" t="str">
        <f>IF(ISBLANK(D14), "", _xlfn.CONCAT("T", TEXT(B14, "0000"), "/", VLOOKUP(D14, Internal!$B$35:C$39, 2, FALSE), IF(OR(D14="QA", D14="Revision"), _xlfn.CONCAT("/", H14), "")))</f>
        <v>T0004/D</v>
      </c>
      <c r="D14" s="44" t="s">
        <v>37</v>
      </c>
      <c r="E14" s="43" t="s">
        <v>38</v>
      </c>
      <c r="F14" s="43" t="s">
        <v>39</v>
      </c>
      <c r="G14" s="44" t="s">
        <v>40</v>
      </c>
      <c r="H14" s="43" t="s">
        <v>42</v>
      </c>
      <c r="I14" s="46">
        <v>46063.458333333336</v>
      </c>
      <c r="J14" s="46">
        <v>46063.583333333336</v>
      </c>
      <c r="K14" s="45" t="str">
        <f ca="1">IF(OR(I14="",J14=""),"",IF(AND(J14&lt;&gt;"",I14&gt;=NOW()),"Planned",IF(AND(J14&lt;&gt;"",J14&lt;NOW()),"Completed","Ongoing")))</f>
        <v>Completed</v>
      </c>
      <c r="L14" s="47">
        <v>1.5</v>
      </c>
      <c r="M14" s="47">
        <v>3</v>
      </c>
      <c r="N14" s="45">
        <f>IF(ISBLANK(L14), "", L14*VLOOKUP($F14,Internal!$B$26:$C$32,2,FALSE))</f>
        <v>37.5</v>
      </c>
      <c r="O14" s="45">
        <f>IF(ISBLANK(M14), "", M14*VLOOKUP($F14,Internal!$B$26:$C$32,2,FALSE))</f>
        <v>75</v>
      </c>
      <c r="P14" s="44" t="s">
        <v>43</v>
      </c>
    </row>
    <row r="15" spans="2:16" ht="15.75" thickBot="1" x14ac:dyDescent="0.3">
      <c r="B15" s="41">
        <v>5</v>
      </c>
      <c r="C15" s="42" t="str">
        <f>IF(ISBLANK(D15), "", _xlfn.CONCAT("T", TEXT(B15, "0000"), "/", VLOOKUP(D15, Internal!$B$35:C$39, 2, FALSE), IF(OR(D15="QA", D15="Revision"), _xlfn.CONCAT("/", H15), "")))</f>
        <v>T0005/D</v>
      </c>
      <c r="D15" s="44" t="s">
        <v>37</v>
      </c>
      <c r="E15" s="43" t="s">
        <v>38</v>
      </c>
      <c r="F15" s="43" t="s">
        <v>39</v>
      </c>
      <c r="G15" s="44" t="s">
        <v>40</v>
      </c>
      <c r="H15" s="43" t="s">
        <v>42</v>
      </c>
      <c r="I15" s="46">
        <v>46063.583333333336</v>
      </c>
      <c r="J15" s="46">
        <v>46063.597222222219</v>
      </c>
      <c r="K15" s="45" t="str">
        <f t="shared" ref="K15:K75" ca="1" si="0">IF(OR(I15="",J15=""),"",IF(AND(J15&lt;&gt;"",I15&gt;=NOW()),"Planned",IF(AND(J15&lt;&gt;"",J15&lt;NOW()),"Completed","Ongoing")))</f>
        <v>Completed</v>
      </c>
      <c r="L15" s="47">
        <v>0.25</v>
      </c>
      <c r="M15" s="47">
        <v>0.33</v>
      </c>
      <c r="N15" s="45">
        <f>IF(ISBLANK(L15), "", L15*VLOOKUP($F15,Internal!$B$26:$C$32,2,FALSE))</f>
        <v>6.25</v>
      </c>
      <c r="O15" s="45">
        <f>IF(ISBLANK(M15), "", M15*VLOOKUP($F15,Internal!$B$26:$C$32,2,FALSE))</f>
        <v>8.25</v>
      </c>
      <c r="P15" s="44" t="s">
        <v>44</v>
      </c>
    </row>
    <row r="16" spans="2:16" ht="15.75" thickBot="1" x14ac:dyDescent="0.3">
      <c r="B16" s="41">
        <v>6</v>
      </c>
      <c r="C16" s="42" t="str">
        <f>IF(ISBLANK(D16), "", _xlfn.CONCAT("T", TEXT(B16, "0000"), "/", VLOOKUP(D16, Internal!$B$35:C$39, 2, FALSE), IF(OR(D16="QA", D16="Revision"), _xlfn.CONCAT("/", H16), "")))</f>
        <v>T0006/D</v>
      </c>
      <c r="D16" s="44" t="s">
        <v>37</v>
      </c>
      <c r="E16" s="43" t="s">
        <v>38</v>
      </c>
      <c r="F16" s="43" t="s">
        <v>39</v>
      </c>
      <c r="G16" s="44" t="s">
        <v>40</v>
      </c>
      <c r="H16" s="43" t="s">
        <v>42</v>
      </c>
      <c r="I16" s="46">
        <v>46063.597222222219</v>
      </c>
      <c r="J16" s="46">
        <v>46063.604166666664</v>
      </c>
      <c r="K16" s="45" t="str">
        <f t="shared" ca="1" si="0"/>
        <v>Completed</v>
      </c>
      <c r="L16" s="47">
        <v>0.25</v>
      </c>
      <c r="M16" s="47">
        <v>0.17</v>
      </c>
      <c r="N16" s="45">
        <f>IF(ISBLANK(L16), "", L16*VLOOKUP($F16,Internal!$B$26:$C$32,2,FALSE))</f>
        <v>6.25</v>
      </c>
      <c r="O16" s="45">
        <f>IF(ISBLANK(M16), "", M16*VLOOKUP($F16,Internal!$B$26:$C$32,2,FALSE))</f>
        <v>4.25</v>
      </c>
      <c r="P16" s="44" t="s">
        <v>45</v>
      </c>
    </row>
    <row r="17" spans="2:16" ht="15.75" thickBot="1" x14ac:dyDescent="0.3">
      <c r="B17" s="41">
        <v>7</v>
      </c>
      <c r="C17" s="42" t="str">
        <f>IF(ISBLANK(D17), "", _xlfn.CONCAT("T", TEXT(B17, "0000"), "/", VLOOKUP(D17, Internal!$B$35:C$39, 2, FALSE), IF(OR(D17="QA", D17="Revision"), _xlfn.CONCAT("/", H17), "")))</f>
        <v>T0007/M</v>
      </c>
      <c r="D17" s="44" t="s">
        <v>30</v>
      </c>
      <c r="E17" s="43" t="s">
        <v>31</v>
      </c>
      <c r="F17" s="43" t="s">
        <v>32</v>
      </c>
      <c r="G17" s="44" t="s">
        <v>46</v>
      </c>
      <c r="H17" s="43"/>
      <c r="I17" s="46">
        <v>46068.42083333333</v>
      </c>
      <c r="J17" s="46">
        <v>46068.438888888886</v>
      </c>
      <c r="K17" s="45" t="str">
        <f ca="1">IF(OR(I17="",J17=""),"",IF(AND(J17&lt;&gt;"",I17&gt;=NOW()),"Planned",IF(AND(J17&lt;&gt;"",J17&lt;NOW()),"Completed","Ongoing")))</f>
        <v>Completed</v>
      </c>
      <c r="L17" s="47">
        <v>0.5</v>
      </c>
      <c r="M17" s="47">
        <v>0.43</v>
      </c>
      <c r="N17" s="45">
        <f>IF(ISBLANK(L17), "", L17*VLOOKUP($F17,Internal!$B$26:$C$32,2,FALSE))</f>
        <v>25</v>
      </c>
      <c r="O17" s="45">
        <f>IF(ISBLANK(M17), "", M17*VLOOKUP($F17,Internal!$B$26:$C$32,2,FALSE))</f>
        <v>21.5</v>
      </c>
      <c r="P17" s="44" t="s">
        <v>47</v>
      </c>
    </row>
    <row r="18" spans="2:16" ht="15.75" thickBot="1" x14ac:dyDescent="0.3">
      <c r="B18" s="41">
        <v>8</v>
      </c>
      <c r="C18" s="42" t="str">
        <f>IF(ISBLANK(D18), "", _xlfn.CONCAT("T", TEXT(B18, "0000"), "/", VLOOKUP(D18, Internal!$B$35:C$39, 2, FALSE), IF(OR(D18="QA", D18="Revision"), _xlfn.CONCAT("/", H18), "")))</f>
        <v>T0008/D</v>
      </c>
      <c r="D18" s="44" t="s">
        <v>37</v>
      </c>
      <c r="E18" s="43" t="s">
        <v>31</v>
      </c>
      <c r="F18" s="43" t="s">
        <v>39</v>
      </c>
      <c r="G18" s="44" t="s">
        <v>48</v>
      </c>
      <c r="H18" s="43"/>
      <c r="I18" s="46"/>
      <c r="J18" s="46"/>
      <c r="K18" s="45" t="str">
        <f ca="1">IF(OR(I18="",J18=""),"",IF(AND(J18&lt;&gt;"",I18&gt;=NOW()),"Planned",IF(AND(J18&lt;&gt;"",J18&lt;NOW()),"Completed","Ongoing")))</f>
        <v/>
      </c>
      <c r="L18" s="47"/>
      <c r="M18" s="47"/>
      <c r="N18" s="45" t="str">
        <f>IF(ISBLANK(L18), "", L18*VLOOKUP($F18,Internal!$B$26:$C$32,2,FALSE))</f>
        <v/>
      </c>
      <c r="O18" s="45" t="str">
        <f>IF(ISBLANK(M18), "", M18*VLOOKUP($F18,Internal!$B$26:$C$32,2,FALSE))</f>
        <v/>
      </c>
      <c r="P18" s="44" t="s">
        <v>49</v>
      </c>
    </row>
    <row r="19" spans="2:16" ht="15.75" thickBot="1" x14ac:dyDescent="0.3">
      <c r="B19" s="41">
        <v>9</v>
      </c>
      <c r="C19" s="42" t="str">
        <f>IF(ISBLANK(D19), "", _xlfn.CONCAT("T", TEXT(B19, "0000"), "/", VLOOKUP(D19, Internal!$B$35:C$39, 2, FALSE), IF(OR(D19="QA", D19="Revision"), _xlfn.CONCAT("/", H19), "")))</f>
        <v>T0009/D</v>
      </c>
      <c r="D19" s="44" t="s">
        <v>37</v>
      </c>
      <c r="E19" s="43" t="s">
        <v>31</v>
      </c>
      <c r="F19" s="43" t="s">
        <v>39</v>
      </c>
      <c r="G19" s="44" t="s">
        <v>48</v>
      </c>
      <c r="H19" s="43" t="s">
        <v>50</v>
      </c>
      <c r="I19" s="46">
        <v>46068.466666666667</v>
      </c>
      <c r="J19" s="46">
        <v>46068.517361111109</v>
      </c>
      <c r="K19" s="45" t="str">
        <f ca="1">IF(OR(I19="",J19=""),"",IF(AND(J19&lt;&gt;"",I19&gt;=NOW()),"Planned",IF(AND(J19&lt;&gt;"",J19&lt;NOW()),"Completed","Ongoing")))</f>
        <v>Completed</v>
      </c>
      <c r="L19" s="47">
        <v>1</v>
      </c>
      <c r="M19" s="47">
        <v>1.22</v>
      </c>
      <c r="N19" s="45">
        <f>IF(ISBLANK(L19), "", L19*VLOOKUP($F19,Internal!$B$26:$C$32,2,FALSE))</f>
        <v>25</v>
      </c>
      <c r="O19" s="45">
        <f>IF(ISBLANK(M19), "", M19*VLOOKUP($F19,Internal!$B$26:$C$32,2,FALSE))</f>
        <v>30.5</v>
      </c>
      <c r="P19" s="44" t="s">
        <v>51</v>
      </c>
    </row>
    <row r="20" spans="2:16" ht="15.75" thickBot="1" x14ac:dyDescent="0.3">
      <c r="B20" s="41">
        <v>10</v>
      </c>
      <c r="C20" s="42" t="str">
        <f>IF(ISBLANK(D20), "", _xlfn.CONCAT("T", TEXT(B20, "0000"), "/", VLOOKUP(D20, Internal!$B$35:C$39, 2, FALSE), IF(OR(D20="QA", D20="Revision"), _xlfn.CONCAT("/", H20), "")))</f>
        <v>T0010/D</v>
      </c>
      <c r="D20" s="44" t="s">
        <v>37</v>
      </c>
      <c r="E20" s="43" t="s">
        <v>31</v>
      </c>
      <c r="F20" s="43" t="s">
        <v>39</v>
      </c>
      <c r="G20" s="44" t="s">
        <v>48</v>
      </c>
      <c r="H20" s="43" t="s">
        <v>50</v>
      </c>
      <c r="I20" s="46">
        <v>46075.448611111111</v>
      </c>
      <c r="J20" s="46">
        <v>46075.488888888889</v>
      </c>
      <c r="K20" s="45" t="str">
        <f t="shared" ca="1" si="0"/>
        <v>Completed</v>
      </c>
      <c r="L20" s="47">
        <v>1</v>
      </c>
      <c r="M20" s="47">
        <v>1</v>
      </c>
      <c r="N20" s="45">
        <f>IF(ISBLANK(L20), "", L20*VLOOKUP($F20,Internal!$B$26:$C$32,2,FALSE))</f>
        <v>25</v>
      </c>
      <c r="O20" s="45">
        <f>IF(ISBLANK(M20), "", M20*VLOOKUP($F20,Internal!$B$26:$C$32,2,FALSE))</f>
        <v>25</v>
      </c>
      <c r="P20" s="44" t="s">
        <v>52</v>
      </c>
    </row>
    <row r="21" spans="2:16" ht="15.75" thickBot="1" x14ac:dyDescent="0.3">
      <c r="B21" s="41">
        <v>11</v>
      </c>
      <c r="C21" s="42" t="str">
        <f>IF(ISBLANK(D21), "", _xlfn.CONCAT("T", TEXT(B21, "0000"), "/", VLOOKUP(D21, Internal!$B$35:C$39, 2, FALSE), IF(OR(D21="QA", D21="Revision"), _xlfn.CONCAT("/", H21), "")))</f>
        <v>T0011/D</v>
      </c>
      <c r="D21" s="44" t="s">
        <v>37</v>
      </c>
      <c r="E21" s="43" t="s">
        <v>53</v>
      </c>
      <c r="F21" s="43" t="s">
        <v>39</v>
      </c>
      <c r="G21" s="44" t="s">
        <v>48</v>
      </c>
      <c r="H21" s="43"/>
      <c r="I21" s="46"/>
      <c r="J21" s="46"/>
      <c r="K21" s="45" t="str">
        <f t="shared" ca="1" si="0"/>
        <v/>
      </c>
      <c r="L21" s="47"/>
      <c r="M21" s="47"/>
      <c r="N21" s="45" t="str">
        <f>IF(ISBLANK(L21), "", L21*VLOOKUP($F21,Internal!$B$26:$C$32,2,FALSE))</f>
        <v/>
      </c>
      <c r="O21" s="45" t="str">
        <f>IF(ISBLANK(M21), "", M21*VLOOKUP($F21,Internal!$B$26:$C$32,2,FALSE))</f>
        <v/>
      </c>
      <c r="P21" s="44" t="s">
        <v>54</v>
      </c>
    </row>
    <row r="22" spans="2:16" ht="15.75" thickBot="1" x14ac:dyDescent="0.3">
      <c r="B22" s="41">
        <v>12</v>
      </c>
      <c r="C22" s="42" t="str">
        <f>IF(ISBLANK(D22), "", _xlfn.CONCAT("T", TEXT(B22, "0000"), "/", VLOOKUP(D22, Internal!$B$35:C$39, 2, FALSE), IF(OR(D22="QA", D22="Revision"), _xlfn.CONCAT("/", H22), "")))</f>
        <v>T0012/D</v>
      </c>
      <c r="D22" s="44" t="s">
        <v>37</v>
      </c>
      <c r="E22" s="43" t="s">
        <v>53</v>
      </c>
      <c r="F22" s="43" t="s">
        <v>39</v>
      </c>
      <c r="G22" s="44" t="s">
        <v>48</v>
      </c>
      <c r="H22" s="43" t="s">
        <v>55</v>
      </c>
      <c r="I22" s="46">
        <v>46075.984722222223</v>
      </c>
      <c r="J22" s="46">
        <v>46076.031944444447</v>
      </c>
      <c r="K22" s="45" t="str">
        <f t="shared" ca="1" si="0"/>
        <v>Completed</v>
      </c>
      <c r="L22" s="47">
        <v>1</v>
      </c>
      <c r="M22" s="47">
        <v>1.1299999999999999</v>
      </c>
      <c r="N22" s="45">
        <f>IF(ISBLANK(L22), "", L22*VLOOKUP($F22,Internal!$B$26:$C$32,2,FALSE))</f>
        <v>25</v>
      </c>
      <c r="O22" s="45">
        <f>IF(ISBLANK(M22), "", M22*VLOOKUP($F22,Internal!$B$26:$C$32,2,FALSE))</f>
        <v>28.249999999999996</v>
      </c>
      <c r="P22" s="44" t="s">
        <v>51</v>
      </c>
    </row>
    <row r="23" spans="2:16" ht="15.75" thickBot="1" x14ac:dyDescent="0.3">
      <c r="B23" s="41">
        <v>13</v>
      </c>
      <c r="C23" s="42" t="str">
        <f>IF(ISBLANK(D23), "", _xlfn.CONCAT("T", TEXT(B23, "0000"), "/", VLOOKUP(D23, Internal!$B$35:C$39, 2, FALSE), IF(OR(D23="QA", D23="Revision"), _xlfn.CONCAT("/", H23), "")))</f>
        <v>T0013/D</v>
      </c>
      <c r="D23" s="44" t="s">
        <v>37</v>
      </c>
      <c r="E23" s="43" t="s">
        <v>53</v>
      </c>
      <c r="F23" s="43" t="s">
        <v>39</v>
      </c>
      <c r="G23" s="44" t="s">
        <v>48</v>
      </c>
      <c r="H23" s="43" t="s">
        <v>55</v>
      </c>
      <c r="I23" s="46">
        <v>46081.502083333333</v>
      </c>
      <c r="J23" s="46">
        <v>46081.54583333333</v>
      </c>
      <c r="K23" s="45" t="str">
        <f ca="1">IF(OR(I23="",J23=""),"",IF(AND(J23&lt;&gt;"",I23&gt;=NOW()),"Planned",IF(AND(J23&lt;&gt;"",J23&lt;NOW()),"Completed","Ongoing")))</f>
        <v>Completed</v>
      </c>
      <c r="L23" s="47">
        <v>1</v>
      </c>
      <c r="M23" s="47">
        <v>1.05</v>
      </c>
      <c r="N23" s="45">
        <f>IF(ISBLANK(L23), "", L23*VLOOKUP($F23,Internal!$B$26:$C$32,2,FALSE))</f>
        <v>25</v>
      </c>
      <c r="O23" s="45">
        <f>IF(ISBLANK(M23), "", M23*VLOOKUP($F23,Internal!$B$26:$C$32,2,FALSE))</f>
        <v>26.25</v>
      </c>
      <c r="P23" s="44" t="s">
        <v>52</v>
      </c>
    </row>
    <row r="24" spans="2:16" ht="15.75" thickBot="1" x14ac:dyDescent="0.3">
      <c r="B24" s="41">
        <v>14</v>
      </c>
      <c r="C24" s="42" t="str">
        <f>IF(ISBLANK(D24), "", _xlfn.CONCAT("T", TEXT(B24, "0000"), "/", VLOOKUP(D24, Internal!$B$35:C$39, 2, FALSE), IF(OR(D24="QA", D24="Revision"), _xlfn.CONCAT("/", H24), "")))</f>
        <v>T0014/D</v>
      </c>
      <c r="D24" s="44" t="s">
        <v>37</v>
      </c>
      <c r="E24" s="43" t="s">
        <v>38</v>
      </c>
      <c r="F24" s="43" t="s">
        <v>39</v>
      </c>
      <c r="G24" s="44" t="s">
        <v>48</v>
      </c>
      <c r="H24" s="43"/>
      <c r="I24" s="46"/>
      <c r="J24" s="46"/>
      <c r="K24" s="45" t="str">
        <f ca="1">IF(OR(I24="",J24=""),"",IF(AND(J24&lt;&gt;"",I24&gt;=NOW()),"Planned",IF(AND(J24&lt;&gt;"",J24&lt;NOW()),"Completed","Ongoing")))</f>
        <v/>
      </c>
      <c r="L24" s="47"/>
      <c r="M24" s="47"/>
      <c r="N24" s="45" t="str">
        <f>IF(ISBLANK(L24), "", L24*VLOOKUP($F24,Internal!$B$26:$C$32,2,FALSE))</f>
        <v/>
      </c>
      <c r="O24" s="45" t="str">
        <f>IF(ISBLANK(M24), "", M24*VLOOKUP($F24,Internal!$B$26:$C$32,2,FALSE))</f>
        <v/>
      </c>
      <c r="P24" s="44" t="s">
        <v>56</v>
      </c>
    </row>
    <row r="25" spans="2:16" ht="15.75" thickBot="1" x14ac:dyDescent="0.3">
      <c r="B25" s="41">
        <v>15</v>
      </c>
      <c r="C25" s="42" t="str">
        <f>IF(ISBLANK(D25), "", _xlfn.CONCAT("T", TEXT(B25, "0000"), "/", VLOOKUP(D25, Internal!$B$35:C$39, 2, FALSE), IF(OR(D25="QA", D25="Revision"), _xlfn.CONCAT("/", H25), "")))</f>
        <v>T0015/D</v>
      </c>
      <c r="D25" s="44" t="s">
        <v>37</v>
      </c>
      <c r="E25" s="43" t="s">
        <v>38</v>
      </c>
      <c r="F25" s="43" t="s">
        <v>39</v>
      </c>
      <c r="G25" s="44" t="s">
        <v>48</v>
      </c>
      <c r="H25" s="43" t="s">
        <v>57</v>
      </c>
      <c r="I25" s="46">
        <v>46068.80972222222</v>
      </c>
      <c r="J25" s="46">
        <v>46068.865972222222</v>
      </c>
      <c r="K25" s="45" t="str">
        <f t="shared" ca="1" si="0"/>
        <v>Completed</v>
      </c>
      <c r="L25" s="47">
        <v>1</v>
      </c>
      <c r="M25" s="47">
        <v>1.35</v>
      </c>
      <c r="N25" s="45">
        <f>IF(ISBLANK(L25), "", L25*VLOOKUP($F25,Internal!$B$26:$C$32,2,FALSE))</f>
        <v>25</v>
      </c>
      <c r="O25" s="45">
        <f>IF(ISBLANK(M25), "", M25*VLOOKUP($F25,Internal!$B$26:$C$32,2,FALSE))</f>
        <v>33.75</v>
      </c>
      <c r="P25" s="44" t="s">
        <v>51</v>
      </c>
    </row>
    <row r="26" spans="2:16" ht="15.75" thickBot="1" x14ac:dyDescent="0.3">
      <c r="B26" s="41">
        <v>16</v>
      </c>
      <c r="C26" s="42" t="str">
        <f>IF(ISBLANK(D26), "", _xlfn.CONCAT("T", TEXT(B26, "0000"), "/", VLOOKUP(D26, Internal!$B$35:C$39, 2, FALSE), IF(OR(D26="QA", D26="Revision"), _xlfn.CONCAT("/", H26), "")))</f>
        <v>T0016/D</v>
      </c>
      <c r="D26" s="44" t="s">
        <v>37</v>
      </c>
      <c r="E26" s="43" t="s">
        <v>38</v>
      </c>
      <c r="F26" s="43" t="s">
        <v>39</v>
      </c>
      <c r="G26" s="44" t="s">
        <v>48</v>
      </c>
      <c r="H26" s="43" t="s">
        <v>57</v>
      </c>
      <c r="I26" s="46">
        <v>46076.648611111108</v>
      </c>
      <c r="J26" s="46">
        <v>46076.686805555553</v>
      </c>
      <c r="K26" s="45" t="str">
        <f t="shared" ca="1" si="0"/>
        <v>Completed</v>
      </c>
      <c r="L26" s="47">
        <v>1</v>
      </c>
      <c r="M26" s="47">
        <v>1</v>
      </c>
      <c r="N26" s="45">
        <f>IF(ISBLANK(L26), "", L26*VLOOKUP($F26,Internal!$B$26:$C$32,2,FALSE))</f>
        <v>25</v>
      </c>
      <c r="O26" s="45">
        <f>IF(ISBLANK(M26), "", M26*VLOOKUP($F26,Internal!$B$26:$C$32,2,FALSE))</f>
        <v>25</v>
      </c>
      <c r="P26" s="44" t="s">
        <v>52</v>
      </c>
    </row>
    <row r="27" spans="2:16" ht="15.75" thickBot="1" x14ac:dyDescent="0.3">
      <c r="B27" s="41">
        <v>17</v>
      </c>
      <c r="C27" s="42" t="str">
        <f>IF(ISBLANK(D27), "", _xlfn.CONCAT("T", TEXT(B27, "0000"), "/", VLOOKUP(D27, Internal!$B$35:C$39, 2, FALSE), IF(OR(D27="QA", D27="Revision"), _xlfn.CONCAT("/", H27), "")))</f>
        <v>T0017/D</v>
      </c>
      <c r="D27" s="44" t="s">
        <v>37</v>
      </c>
      <c r="E27" s="43" t="s">
        <v>58</v>
      </c>
      <c r="F27" s="43" t="s">
        <v>39</v>
      </c>
      <c r="G27" s="44" t="s">
        <v>48</v>
      </c>
      <c r="H27" s="43"/>
      <c r="I27" s="46"/>
      <c r="J27" s="46"/>
      <c r="K27" s="45" t="str">
        <f t="shared" ca="1" si="0"/>
        <v/>
      </c>
      <c r="L27" s="47"/>
      <c r="M27" s="47"/>
      <c r="N27" s="45" t="str">
        <f>IF(ISBLANK(L27), "", L27*VLOOKUP($F27,Internal!$B$26:$C$32,2,FALSE))</f>
        <v/>
      </c>
      <c r="O27" s="45" t="str">
        <f>IF(ISBLANK(M27), "", M27*VLOOKUP($F27,Internal!$B$26:$C$32,2,FALSE))</f>
        <v/>
      </c>
      <c r="P27" s="44" t="s">
        <v>59</v>
      </c>
    </row>
    <row r="28" spans="2:16" ht="15.75" thickBot="1" x14ac:dyDescent="0.3">
      <c r="B28" s="41">
        <v>18</v>
      </c>
      <c r="C28" s="42" t="str">
        <f>IF(ISBLANK(D28), "", _xlfn.CONCAT("T", TEXT(B28, "0000"), "/", VLOOKUP(D28, Internal!$B$35:C$39, 2, FALSE), IF(OR(D28="QA", D28="Revision"), _xlfn.CONCAT("/", H28), "")))</f>
        <v>T0018/D</v>
      </c>
      <c r="D28" s="44" t="s">
        <v>37</v>
      </c>
      <c r="E28" s="43" t="s">
        <v>58</v>
      </c>
      <c r="F28" s="43" t="s">
        <v>39</v>
      </c>
      <c r="G28" s="44" t="s">
        <v>48</v>
      </c>
      <c r="H28" s="43" t="s">
        <v>60</v>
      </c>
      <c r="I28" s="46">
        <v>46069.361111111109</v>
      </c>
      <c r="J28" s="46">
        <v>46069.404166666667</v>
      </c>
      <c r="K28" s="45" t="str">
        <f t="shared" ca="1" si="0"/>
        <v>Completed</v>
      </c>
      <c r="L28" s="47">
        <v>1</v>
      </c>
      <c r="M28" s="47">
        <v>1.03</v>
      </c>
      <c r="N28" s="45">
        <f>IF(ISBLANK(L28), "", L28*VLOOKUP($F28,Internal!$B$26:$C$32,2,FALSE))</f>
        <v>25</v>
      </c>
      <c r="O28" s="45">
        <f>IF(ISBLANK(M28), "", M28*VLOOKUP($F28,Internal!$B$26:$C$32,2,FALSE))</f>
        <v>25.75</v>
      </c>
      <c r="P28" s="44" t="s">
        <v>51</v>
      </c>
    </row>
    <row r="29" spans="2:16" ht="15.75" thickBot="1" x14ac:dyDescent="0.3">
      <c r="B29" s="41">
        <v>19</v>
      </c>
      <c r="C29" s="42" t="str">
        <f>IF(ISBLANK(D29), "", _xlfn.CONCAT("T", TEXT(B29, "0000"), "/", VLOOKUP(D29, Internal!$B$35:C$39, 2, FALSE), IF(OR(D29="QA", D29="Revision"), _xlfn.CONCAT("/", H29), "")))</f>
        <v>T0019/D</v>
      </c>
      <c r="D29" s="44" t="s">
        <v>37</v>
      </c>
      <c r="E29" s="43" t="s">
        <v>58</v>
      </c>
      <c r="F29" s="43" t="s">
        <v>39</v>
      </c>
      <c r="G29" s="44" t="s">
        <v>48</v>
      </c>
      <c r="H29" s="43" t="s">
        <v>60</v>
      </c>
      <c r="I29" s="46">
        <v>46077.640277777777</v>
      </c>
      <c r="J29" s="46">
        <v>46077.688194444447</v>
      </c>
      <c r="K29" s="45" t="str">
        <f t="shared" ca="1" si="0"/>
        <v>Completed</v>
      </c>
      <c r="L29" s="47">
        <v>1</v>
      </c>
      <c r="M29" s="47">
        <v>1.1499999999999999</v>
      </c>
      <c r="N29" s="45">
        <f>IF(ISBLANK(L29), "", L29*VLOOKUP($F29,Internal!$B$26:$C$32,2,FALSE))</f>
        <v>25</v>
      </c>
      <c r="O29" s="45">
        <f>IF(ISBLANK(M29), "", M29*VLOOKUP($F29,Internal!$B$26:$C$32,2,FALSE))</f>
        <v>28.749999999999996</v>
      </c>
      <c r="P29" s="44" t="s">
        <v>52</v>
      </c>
    </row>
    <row r="30" spans="2:16" ht="15.75" thickBot="1" x14ac:dyDescent="0.3">
      <c r="B30" s="41">
        <v>20</v>
      </c>
      <c r="C30" s="42" t="str">
        <f>IF(ISBLANK(D30), "", _xlfn.CONCAT("T", TEXT(B30, "0000"), "/", VLOOKUP(D30, Internal!$B$35:C$39, 2, FALSE), IF(OR(D30="QA", D30="Revision"), _xlfn.CONCAT("/", H30), "")))</f>
        <v>T0020/D</v>
      </c>
      <c r="D30" s="44" t="s">
        <v>37</v>
      </c>
      <c r="E30" s="43" t="s">
        <v>61</v>
      </c>
      <c r="F30" s="43" t="s">
        <v>39</v>
      </c>
      <c r="G30" s="44" t="s">
        <v>48</v>
      </c>
      <c r="H30" s="43"/>
      <c r="I30" s="46"/>
      <c r="J30" s="46"/>
      <c r="K30" s="45" t="str">
        <f t="shared" ca="1" si="0"/>
        <v/>
      </c>
      <c r="L30" s="47"/>
      <c r="M30" s="47"/>
      <c r="N30" s="45" t="str">
        <f>IF(ISBLANK(L30), "", L30*VLOOKUP($F30,Internal!$B$26:$C$32,2,FALSE))</f>
        <v/>
      </c>
      <c r="O30" s="45" t="str">
        <f>IF(ISBLANK(M30), "", M30*VLOOKUP($F30,Internal!$B$26:$C$32,2,FALSE))</f>
        <v/>
      </c>
      <c r="P30" s="44" t="s">
        <v>62</v>
      </c>
    </row>
    <row r="31" spans="2:16" ht="15.75" thickBot="1" x14ac:dyDescent="0.3">
      <c r="B31" s="41">
        <v>21</v>
      </c>
      <c r="C31" s="42" t="str">
        <f>IF(ISBLANK(D31), "", _xlfn.CONCAT("T", TEXT(B31, "0000"), "/", VLOOKUP(D31, Internal!$B$35:C$39, 2, FALSE), IF(OR(D31="QA", D31="Revision"), _xlfn.CONCAT("/", H31), "")))</f>
        <v>T0021/D</v>
      </c>
      <c r="D31" s="44" t="s">
        <v>37</v>
      </c>
      <c r="E31" s="43" t="s">
        <v>61</v>
      </c>
      <c r="F31" s="43" t="s">
        <v>39</v>
      </c>
      <c r="G31" s="44" t="s">
        <v>48</v>
      </c>
      <c r="H31" s="43" t="s">
        <v>63</v>
      </c>
      <c r="I31" s="46">
        <v>46068.871527777781</v>
      </c>
      <c r="J31" s="46">
        <v>46068.966666666667</v>
      </c>
      <c r="K31" s="45" t="s">
        <v>64</v>
      </c>
      <c r="L31" s="47">
        <v>1</v>
      </c>
      <c r="M31" s="47">
        <v>2.17</v>
      </c>
      <c r="N31" s="45">
        <f>IF(ISBLANK(L31), "", L31*VLOOKUP($F31,Internal!$B$26:$C$32,2,FALSE))</f>
        <v>25</v>
      </c>
      <c r="O31" s="45">
        <f>IF(ISBLANK(M31), "", M31*VLOOKUP($F31,Internal!$B$26:$C$32,2,FALSE))</f>
        <v>54.25</v>
      </c>
      <c r="P31" s="44" t="s">
        <v>51</v>
      </c>
    </row>
    <row r="32" spans="2:16" ht="15.75" thickBot="1" x14ac:dyDescent="0.3">
      <c r="B32" s="41">
        <v>22</v>
      </c>
      <c r="C32" s="42" t="str">
        <f>IF(ISBLANK(D32), "", _xlfn.CONCAT("T", TEXT(B32, "0000"), "/", VLOOKUP(D32, Internal!$B$35:C$39, 2, FALSE), IF(OR(D32="QA", D32="Revision"), _xlfn.CONCAT("/", H32), "")))</f>
        <v>T0022/D</v>
      </c>
      <c r="D32" s="44" t="s">
        <v>37</v>
      </c>
      <c r="E32" s="43" t="s">
        <v>61</v>
      </c>
      <c r="F32" s="43" t="s">
        <v>39</v>
      </c>
      <c r="G32" s="44" t="s">
        <v>48</v>
      </c>
      <c r="H32" s="43" t="s">
        <v>63</v>
      </c>
      <c r="I32" s="46">
        <v>46077.635416666664</v>
      </c>
      <c r="J32" s="46">
        <v>46077.673611111109</v>
      </c>
      <c r="K32" s="45" t="str">
        <f ca="1">IF(OR(I32="",J32=""),"",IF(AND(J32&lt;&gt;"",I32&gt;=NOW()),"Planned",IF(AND(J32&lt;&gt;"",J32&lt;NOW()),"Completed","Ongoing")))</f>
        <v>Completed</v>
      </c>
      <c r="L32" s="47">
        <v>1</v>
      </c>
      <c r="M32" s="47">
        <v>0.92</v>
      </c>
      <c r="N32" s="45">
        <f>IF(ISBLANK(L32), "", L32*VLOOKUP($F32,Internal!$B$26:$C$32,2,FALSE))</f>
        <v>25</v>
      </c>
      <c r="O32" s="45">
        <f>IF(ISBLANK(M32), "", M32*VLOOKUP($F32,Internal!$B$26:$C$32,2,FALSE))</f>
        <v>23</v>
      </c>
      <c r="P32" s="44" t="s">
        <v>52</v>
      </c>
    </row>
    <row r="33" spans="2:16" ht="15.75" thickBot="1" x14ac:dyDescent="0.3">
      <c r="B33" s="41">
        <v>23</v>
      </c>
      <c r="C33" s="42" t="str">
        <f>IF(ISBLANK(D33), "", _xlfn.CONCAT("T", TEXT(B33, "0000"), "/", VLOOKUP(D33, Internal!$B$35:C$39, 2, FALSE), IF(OR(D33="QA", D33="Revision"), _xlfn.CONCAT("/", H33), "")))</f>
        <v>T0023/D</v>
      </c>
      <c r="D33" s="44" t="s">
        <v>37</v>
      </c>
      <c r="E33" s="43" t="s">
        <v>61</v>
      </c>
      <c r="F33" s="43" t="s">
        <v>39</v>
      </c>
      <c r="G33" s="44" t="s">
        <v>48</v>
      </c>
      <c r="H33" s="43" t="s">
        <v>63</v>
      </c>
      <c r="I33" s="46">
        <v>46077.675000000003</v>
      </c>
      <c r="J33" s="46">
        <v>46077.6875</v>
      </c>
      <c r="K33" s="45" t="str">
        <f ca="1">IF(OR(I33="",J33=""),"",IF(AND(J33&lt;&gt;"",I33&gt;=NOW()),"Planned",IF(AND(J33&lt;&gt;"",J33&lt;NOW()),"Completed","Ongoing")))</f>
        <v>Completed</v>
      </c>
      <c r="L33" s="47">
        <v>0.5</v>
      </c>
      <c r="M33" s="47">
        <v>0.3</v>
      </c>
      <c r="N33" s="45">
        <f>IF(ISBLANK(L33), "", L33*VLOOKUP($F33,Internal!$B$26:$C$32,2,FALSE))</f>
        <v>12.5</v>
      </c>
      <c r="O33" s="45">
        <f>IF(ISBLANK(M33), "", M33*VLOOKUP($F33,Internal!$B$26:$C$32,2,FALSE))</f>
        <v>7.5</v>
      </c>
      <c r="P33" s="44" t="s">
        <v>65</v>
      </c>
    </row>
    <row r="34" spans="2:16" ht="15.75" thickBot="1" x14ac:dyDescent="0.3">
      <c r="B34" s="41">
        <v>24</v>
      </c>
      <c r="C34" s="42" t="str">
        <f>IF(ISBLANK(D34), "", _xlfn.CONCAT("T", TEXT(B34, "0000"), "/", VLOOKUP(D34, Internal!$B$35:C$39, 2, FALSE), IF(OR(D34="QA", D34="Revision"), _xlfn.CONCAT("/", H34), "")))</f>
        <v>T0024/D</v>
      </c>
      <c r="D34" s="44" t="s">
        <v>37</v>
      </c>
      <c r="E34" s="43" t="s">
        <v>66</v>
      </c>
      <c r="F34" s="43" t="s">
        <v>39</v>
      </c>
      <c r="G34" s="44" t="s">
        <v>48</v>
      </c>
      <c r="H34" s="43"/>
      <c r="I34" s="46">
        <v>46076.382638888892</v>
      </c>
      <c r="J34" s="46">
        <v>46076.395833333336</v>
      </c>
      <c r="K34" s="45" t="str">
        <f t="shared" ca="1" si="0"/>
        <v>Completed</v>
      </c>
      <c r="L34" s="47">
        <v>0.1</v>
      </c>
      <c r="M34" s="47">
        <v>0.31669999999999998</v>
      </c>
      <c r="N34" s="45">
        <f>IF(ISBLANK(L34), "", L34*VLOOKUP($F34,Internal!$B$26:$C$32,2,FALSE))</f>
        <v>2.5</v>
      </c>
      <c r="O34" s="45">
        <f>IF(ISBLANK(M34), "", M34*VLOOKUP($F34,Internal!$B$26:$C$32,2,FALSE))</f>
        <v>7.9174999999999995</v>
      </c>
      <c r="P34" s="44" t="s">
        <v>67</v>
      </c>
    </row>
    <row r="35" spans="2:16" ht="15.75" thickBot="1" x14ac:dyDescent="0.3">
      <c r="B35" s="41">
        <v>25</v>
      </c>
      <c r="C35" s="42" t="str">
        <f>IF(ISBLANK(D35), "", _xlfn.CONCAT("T", TEXT(B35, "0000"), "/", VLOOKUP(D35, Internal!$B$35:C$39, 2, FALSE), IF(OR(D35="QA", D35="Revision"), _xlfn.CONCAT("/", H35), "")))</f>
        <v>T0025/D</v>
      </c>
      <c r="D35" s="44" t="s">
        <v>37</v>
      </c>
      <c r="E35" s="43" t="s">
        <v>31</v>
      </c>
      <c r="F35" s="43" t="s">
        <v>39</v>
      </c>
      <c r="G35" s="44" t="s">
        <v>48</v>
      </c>
      <c r="H35" s="43"/>
      <c r="I35" s="46">
        <v>46089.493750000001</v>
      </c>
      <c r="J35" s="46">
        <v>46089.620833333334</v>
      </c>
      <c r="K35" s="45" t="str">
        <f t="shared" ca="1" si="0"/>
        <v>Completed</v>
      </c>
      <c r="L35" s="47">
        <v>3</v>
      </c>
      <c r="M35" s="47">
        <v>3</v>
      </c>
      <c r="N35" s="45">
        <f>IF(ISBLANK(L35), "", L35*VLOOKUP($F35,Internal!$B$26:$C$32,2,FALSE))</f>
        <v>75</v>
      </c>
      <c r="O35" s="45">
        <f>IF(ISBLANK(M35), "", M35*VLOOKUP($F35,Internal!$B$26:$C$32,2,FALSE))</f>
        <v>75</v>
      </c>
      <c r="P35" s="44" t="s">
        <v>68</v>
      </c>
    </row>
    <row r="36" spans="2:16" ht="15.75" thickBot="1" x14ac:dyDescent="0.3">
      <c r="B36" s="41">
        <v>26</v>
      </c>
      <c r="C36" s="42" t="str">
        <f>IF(ISBLANK(D36), "", _xlfn.CONCAT("T", TEXT(B36, "0000"), "/", VLOOKUP(D36, Internal!$B$35:C$39, 2, FALSE), IF(OR(D36="QA", D36="Revision"), _xlfn.CONCAT("/", H36), "")))</f>
        <v>T0026/D</v>
      </c>
      <c r="D36" s="44" t="s">
        <v>37</v>
      </c>
      <c r="E36" s="43" t="s">
        <v>31</v>
      </c>
      <c r="F36" s="43" t="s">
        <v>39</v>
      </c>
      <c r="G36" s="44" t="s">
        <v>48</v>
      </c>
      <c r="H36" s="43"/>
      <c r="I36" s="46">
        <v>46096.854861111111</v>
      </c>
      <c r="J36" s="46">
        <v>46096.869444444441</v>
      </c>
      <c r="K36" s="45" t="str">
        <f t="shared" ca="1" si="0"/>
        <v>Completed</v>
      </c>
      <c r="L36" s="47">
        <v>2</v>
      </c>
      <c r="M36" s="47">
        <v>0.35</v>
      </c>
      <c r="N36" s="45">
        <f>IF(ISBLANK(L36), "", L36*VLOOKUP($F36,Internal!$B$26:$C$32,2,FALSE))</f>
        <v>50</v>
      </c>
      <c r="O36" s="45">
        <f>IF(ISBLANK(M36), "", M36*VLOOKUP($F36,Internal!$B$26:$C$32,2,FALSE))</f>
        <v>8.75</v>
      </c>
      <c r="P36" s="44" t="s">
        <v>69</v>
      </c>
    </row>
    <row r="37" spans="2:16" ht="15.75" thickBot="1" x14ac:dyDescent="0.3">
      <c r="B37" s="41">
        <v>27</v>
      </c>
      <c r="C37" s="42" t="str">
        <f>IF(ISBLANK(D37), "", _xlfn.CONCAT("T", TEXT(B37, "0000"), "/", VLOOKUP(D37, Internal!$B$35:C$39, 2, FALSE), IF(OR(D37="QA", D37="Revision"), _xlfn.CONCAT("/", H37), "")))</f>
        <v>T0027/D</v>
      </c>
      <c r="D37" s="44" t="s">
        <v>37</v>
      </c>
      <c r="E37" s="43" t="s">
        <v>31</v>
      </c>
      <c r="F37" s="43" t="s">
        <v>39</v>
      </c>
      <c r="G37" s="44" t="s">
        <v>48</v>
      </c>
      <c r="H37" s="43"/>
      <c r="I37" s="46">
        <v>46093.445138888892</v>
      </c>
      <c r="J37" s="46">
        <v>46096.834722222222</v>
      </c>
      <c r="K37" s="45" t="str">
        <f t="shared" ca="1" si="0"/>
        <v>Completed</v>
      </c>
      <c r="L37" s="47">
        <v>3</v>
      </c>
      <c r="M37" s="47">
        <v>4</v>
      </c>
      <c r="N37" s="45">
        <f>IF(ISBLANK(L37), "", L37*VLOOKUP($F37,Internal!$B$26:$C$32,2,FALSE))</f>
        <v>75</v>
      </c>
      <c r="O37" s="45">
        <f>IF(ISBLANK(M37), "", M37*VLOOKUP($F37,Internal!$B$26:$C$32,2,FALSE))</f>
        <v>100</v>
      </c>
      <c r="P37" s="44" t="s">
        <v>70</v>
      </c>
    </row>
    <row r="38" spans="2:16" ht="15.75" thickBot="1" x14ac:dyDescent="0.3">
      <c r="B38" s="41">
        <v>28</v>
      </c>
      <c r="C38" s="42" t="str">
        <f>IF(ISBLANK(D38), "", _xlfn.CONCAT("T", TEXT(B38, "0000"), "/", VLOOKUP(D38, Internal!$B$35:C$39, 2, FALSE), IF(OR(D38="QA", D38="Revision"), _xlfn.CONCAT("/", H38), "")))</f>
        <v>T0028/D</v>
      </c>
      <c r="D38" s="44" t="s">
        <v>37</v>
      </c>
      <c r="E38" s="43" t="s">
        <v>31</v>
      </c>
      <c r="F38" s="43" t="s">
        <v>39</v>
      </c>
      <c r="G38" s="44" t="s">
        <v>48</v>
      </c>
      <c r="H38" s="43"/>
      <c r="I38" s="46">
        <v>46096.850694444445</v>
      </c>
      <c r="J38" s="46">
        <v>46096.853472222225</v>
      </c>
      <c r="K38" s="45" t="str">
        <f t="shared" ca="1" si="0"/>
        <v>Completed</v>
      </c>
      <c r="L38" s="47">
        <v>1</v>
      </c>
      <c r="M38" s="47">
        <v>6.7000000000000004E-2</v>
      </c>
      <c r="N38" s="45">
        <f>IF(ISBLANK(L38), "", L38*VLOOKUP($F38,Internal!$B$26:$C$32,2,FALSE))</f>
        <v>25</v>
      </c>
      <c r="O38" s="45">
        <f>IF(ISBLANK(M38), "", M38*VLOOKUP($F38,Internal!$B$26:$C$32,2,FALSE))</f>
        <v>1.675</v>
      </c>
      <c r="P38" s="44" t="s">
        <v>71</v>
      </c>
    </row>
    <row r="39" spans="2:16" ht="15.75" thickBot="1" x14ac:dyDescent="0.3">
      <c r="B39" s="41">
        <v>29</v>
      </c>
      <c r="C39" s="42" t="str">
        <f>IF(ISBLANK(D39), "", _xlfn.CONCAT("T", TEXT(B39, "0000"), "/", VLOOKUP(D39, Internal!$B$35:C$39, 2, FALSE), IF(OR(D39="QA", D39="Revision"), _xlfn.CONCAT("/", H39), "")))</f>
        <v>T0029/D</v>
      </c>
      <c r="D39" s="44" t="s">
        <v>37</v>
      </c>
      <c r="E39" s="43" t="s">
        <v>31</v>
      </c>
      <c r="F39" s="43" t="s">
        <v>39</v>
      </c>
      <c r="G39" s="44" t="s">
        <v>72</v>
      </c>
      <c r="H39" s="43"/>
      <c r="I39" s="46">
        <v>46084.444444444445</v>
      </c>
      <c r="J39" s="46">
        <v>46084.506249999999</v>
      </c>
      <c r="K39" s="45" t="str">
        <f t="shared" ca="1" si="0"/>
        <v>Completed</v>
      </c>
      <c r="L39" s="47">
        <v>1.5</v>
      </c>
      <c r="M39" s="47">
        <v>1.5</v>
      </c>
      <c r="N39" s="45">
        <f>IF(ISBLANK(L39), "", L39*VLOOKUP($F39,Internal!$B$26:$C$32,2,FALSE))</f>
        <v>37.5</v>
      </c>
      <c r="O39" s="45">
        <f>IF(ISBLANK(M39), "", M39*VLOOKUP($F39,Internal!$B$26:$C$32,2,FALSE))</f>
        <v>37.5</v>
      </c>
      <c r="P39" s="44" t="s">
        <v>73</v>
      </c>
    </row>
    <row r="40" spans="2:16" ht="15.75" thickBot="1" x14ac:dyDescent="0.3">
      <c r="B40" s="41">
        <v>30</v>
      </c>
      <c r="C40" s="42" t="str">
        <f>IF(ISBLANK(D40), "", _xlfn.CONCAT("T", TEXT(B40, "0000"), "/", VLOOKUP(D40, Internal!$B$35:C$39, 2, FALSE), IF(OR(D40="QA", D40="Revision"), _xlfn.CONCAT("/", H40), "")))</f>
        <v>T0030/R/</v>
      </c>
      <c r="D40" s="44" t="s">
        <v>74</v>
      </c>
      <c r="E40" s="43" t="s">
        <v>66</v>
      </c>
      <c r="F40" s="43" t="s">
        <v>75</v>
      </c>
      <c r="G40" s="44" t="s">
        <v>76</v>
      </c>
      <c r="H40" s="43"/>
      <c r="I40" s="46">
        <v>46062.354166666664</v>
      </c>
      <c r="J40" s="46">
        <v>46062.430555555555</v>
      </c>
      <c r="K40" s="45" t="str">
        <f ca="1">IF(OR(I40="",J40=""),"",IF(AND(J40&lt;&gt;"",I40&gt;=NOW()),"Planned",IF(AND(J40&lt;&gt;"",J40&lt;NOW()),"Completed","Ongoing")))</f>
        <v>Completed</v>
      </c>
      <c r="L40" s="47">
        <v>1.83</v>
      </c>
      <c r="M40" s="47">
        <v>1.83</v>
      </c>
      <c r="N40" s="45">
        <f>IF(ISBLANK(L40), "", L40*VLOOKUP($F40,Internal!$B$26:$C$32,2,FALSE))</f>
        <v>0</v>
      </c>
      <c r="O40" s="45">
        <f>IF(ISBLANK(M40), "", M40*VLOOKUP($F40,Internal!$B$26:$C$32,2,FALSE))</f>
        <v>0</v>
      </c>
      <c r="P40" s="44" t="s">
        <v>77</v>
      </c>
    </row>
    <row r="41" spans="2:16" ht="15.75" thickBot="1" x14ac:dyDescent="0.3">
      <c r="B41" s="41">
        <v>31</v>
      </c>
      <c r="C41" s="42" t="str">
        <f>IF(ISBLANK(D41), "", _xlfn.CONCAT("T", TEXT(B41, "0000"), "/", VLOOKUP(D41, Internal!$B$35:C$39, 2, FALSE), IF(OR(D41="QA", D41="Revision"), _xlfn.CONCAT("/", H41), "")))</f>
        <v>T0031/D</v>
      </c>
      <c r="D41" s="44" t="s">
        <v>37</v>
      </c>
      <c r="E41" s="43" t="s">
        <v>31</v>
      </c>
      <c r="F41" s="43" t="s">
        <v>39</v>
      </c>
      <c r="G41" s="44" t="s">
        <v>48</v>
      </c>
      <c r="H41" s="43"/>
      <c r="I41" s="46">
        <v>46075.435416666667</v>
      </c>
      <c r="J41" s="46">
        <v>46075.448611111111</v>
      </c>
      <c r="K41" s="45" t="str">
        <f ca="1">IF(OR(I41="",J41=""),"",IF(AND(J41&lt;&gt;"",I41&gt;=NOW()),"Planned",IF(AND(J41&lt;&gt;"",J41&lt;NOW()),"Completed","Ongoing")))</f>
        <v>Completed</v>
      </c>
      <c r="L41" s="47">
        <v>0.5</v>
      </c>
      <c r="M41" s="47">
        <v>0.31669999999999998</v>
      </c>
      <c r="N41" s="45">
        <f>IF(ISBLANK(L41), "", L41*VLOOKUP($F41,Internal!$B$26:$C$32,2,FALSE))</f>
        <v>12.5</v>
      </c>
      <c r="O41" s="45">
        <f>IF(ISBLANK(M41), "", M41*VLOOKUP($F41,Internal!$B$26:$C$32,2,FALSE))</f>
        <v>7.9174999999999995</v>
      </c>
      <c r="P41" s="44" t="s">
        <v>78</v>
      </c>
    </row>
    <row r="42" spans="2:16" ht="15.75" thickBot="1" x14ac:dyDescent="0.3">
      <c r="B42" s="41">
        <v>32</v>
      </c>
      <c r="C42" s="42" t="str">
        <f>IF(ISBLANK(D42), "", _xlfn.CONCAT("T", TEXT(B42, "0000"), "/", VLOOKUP(D42, Internal!$B$35:C$39, 2, FALSE), IF(OR(D42="QA", D42="Revision"), _xlfn.CONCAT("/", H42), "")))</f>
        <v>T0032/M</v>
      </c>
      <c r="D42" s="44" t="s">
        <v>30</v>
      </c>
      <c r="E42" s="43" t="s">
        <v>31</v>
      </c>
      <c r="F42" s="43" t="s">
        <v>32</v>
      </c>
      <c r="G42" s="44" t="s">
        <v>79</v>
      </c>
      <c r="H42" s="43"/>
      <c r="I42" s="46">
        <v>46076.4</v>
      </c>
      <c r="J42" s="46">
        <v>46076.411111111112</v>
      </c>
      <c r="K42" s="45" t="str">
        <f t="shared" ca="1" si="0"/>
        <v>Completed</v>
      </c>
      <c r="L42" s="47">
        <v>0.5</v>
      </c>
      <c r="M42" s="47">
        <v>0.26669999999999999</v>
      </c>
      <c r="N42" s="45">
        <f>IF(ISBLANK(L42), "", L42*VLOOKUP($F42,Internal!$B$26:$C$32,2,FALSE))</f>
        <v>25</v>
      </c>
      <c r="O42" s="45">
        <f>IF(ISBLANK(M42), "", M42*VLOOKUP($F42,Internal!$B$26:$C$32,2,FALSE))</f>
        <v>13.334999999999999</v>
      </c>
      <c r="P42" s="44" t="s">
        <v>80</v>
      </c>
    </row>
    <row r="43" spans="2:16" ht="15.75" thickBot="1" x14ac:dyDescent="0.3">
      <c r="B43" s="41">
        <v>33</v>
      </c>
      <c r="C43" s="42" t="str">
        <f>IF(ISBLANK(D43), "", _xlfn.CONCAT("T", TEXT(B43, "0000"), "/", VLOOKUP(D43, Internal!$B$35:C$39, 2, FALSE), IF(OR(D43="QA", D43="Revision"), _xlfn.CONCAT("/", H43), "")))</f>
        <v>T0033/R/</v>
      </c>
      <c r="D43" s="44" t="s">
        <v>74</v>
      </c>
      <c r="E43" s="43" t="s">
        <v>66</v>
      </c>
      <c r="F43" s="43" t="s">
        <v>75</v>
      </c>
      <c r="G43" s="44" t="s">
        <v>76</v>
      </c>
      <c r="H43" s="43"/>
      <c r="I43" s="46">
        <v>46065.444444444445</v>
      </c>
      <c r="J43" s="46">
        <v>46065.520833333336</v>
      </c>
      <c r="K43" s="45" t="str">
        <f t="shared" ca="1" si="0"/>
        <v>Completed</v>
      </c>
      <c r="L43" s="47">
        <v>1.83</v>
      </c>
      <c r="M43" s="47">
        <v>1.83</v>
      </c>
      <c r="N43" s="45">
        <f>IF(ISBLANK(L43), "", L43*VLOOKUP($F43,Internal!$B$26:$C$32,2,FALSE))</f>
        <v>0</v>
      </c>
      <c r="O43" s="45">
        <f>IF(ISBLANK(M43), "", M43*VLOOKUP($F43,Internal!$B$26:$C$32,2,FALSE))</f>
        <v>0</v>
      </c>
      <c r="P43" s="44" t="s">
        <v>81</v>
      </c>
    </row>
    <row r="44" spans="2:16" ht="15.75" thickBot="1" x14ac:dyDescent="0.3">
      <c r="B44" s="41">
        <v>34</v>
      </c>
      <c r="C44" s="42" t="str">
        <f>IF(ISBLANK(D44), "", _xlfn.CONCAT("T", TEXT(B44, "0000"), "/", VLOOKUP(D44, Internal!$B$35:C$39, 2, FALSE), IF(OR(D44="QA", D44="Revision"), _xlfn.CONCAT("/", H44), "")))</f>
        <v>T0034/R/</v>
      </c>
      <c r="D44" s="44" t="s">
        <v>74</v>
      </c>
      <c r="E44" s="43" t="s">
        <v>66</v>
      </c>
      <c r="F44" s="43" t="s">
        <v>75</v>
      </c>
      <c r="G44" s="44" t="s">
        <v>76</v>
      </c>
      <c r="H44" s="43"/>
      <c r="I44" s="46">
        <v>46069.354166666664</v>
      </c>
      <c r="J44" s="46">
        <v>46069.430555555555</v>
      </c>
      <c r="K44" s="45" t="str">
        <f t="shared" ca="1" si="0"/>
        <v>Completed</v>
      </c>
      <c r="L44" s="47">
        <v>1.83</v>
      </c>
      <c r="M44" s="47">
        <v>1.83</v>
      </c>
      <c r="N44" s="45">
        <f>IF(ISBLANK(L44), "", L44*VLOOKUP($F44,Internal!$B$26:$C$32,2,FALSE))</f>
        <v>0</v>
      </c>
      <c r="O44" s="45">
        <f>IF(ISBLANK(M44), "", M44*VLOOKUP($F44,Internal!$B$26:$C$32,2,FALSE))</f>
        <v>0</v>
      </c>
      <c r="P44" s="44" t="s">
        <v>77</v>
      </c>
    </row>
    <row r="45" spans="2:16" ht="15.75" thickBot="1" x14ac:dyDescent="0.3">
      <c r="B45" s="41">
        <v>35</v>
      </c>
      <c r="C45" s="42" t="str">
        <f>IF(ISBLANK(D45), "", _xlfn.CONCAT("T", TEXT(B45, "0000"), "/", VLOOKUP(D45, Internal!$B$35:C$39, 2, FALSE), IF(OR(D45="QA", D45="Revision"), _xlfn.CONCAT("/", H45), "")))</f>
        <v>T0035/R/</v>
      </c>
      <c r="D45" s="44" t="s">
        <v>74</v>
      </c>
      <c r="E45" s="43" t="s">
        <v>66</v>
      </c>
      <c r="F45" s="43" t="s">
        <v>75</v>
      </c>
      <c r="G45" s="44" t="s">
        <v>76</v>
      </c>
      <c r="H45" s="43"/>
      <c r="I45" s="46">
        <v>46072.444444444445</v>
      </c>
      <c r="J45" s="46">
        <v>46072.520833333336</v>
      </c>
      <c r="K45" s="45" t="str">
        <f t="shared" ca="1" si="0"/>
        <v>Completed</v>
      </c>
      <c r="L45" s="47">
        <v>1.83</v>
      </c>
      <c r="M45" s="47">
        <v>1.83</v>
      </c>
      <c r="N45" s="45">
        <f>IF(ISBLANK(L45), "", L45*VLOOKUP($F45,Internal!$B$26:$C$32,2,FALSE))</f>
        <v>0</v>
      </c>
      <c r="O45" s="45">
        <f>IF(ISBLANK(M45), "", M45*VLOOKUP($F45,Internal!$B$26:$C$32,2,FALSE))</f>
        <v>0</v>
      </c>
      <c r="P45" s="44" t="s">
        <v>81</v>
      </c>
    </row>
    <row r="46" spans="2:16" ht="15.75" thickBot="1" x14ac:dyDescent="0.3">
      <c r="B46" s="41">
        <v>36</v>
      </c>
      <c r="C46" s="42" t="str">
        <f>IF(ISBLANK(D46), "", _xlfn.CONCAT("T", TEXT(B46, "0000"), "/", VLOOKUP(D46, Internal!$B$35:C$39, 2, FALSE), IF(OR(D46="QA", D46="Revision"), _xlfn.CONCAT("/", H46), "")))</f>
        <v>T0036/R/</v>
      </c>
      <c r="D46" s="44" t="s">
        <v>74</v>
      </c>
      <c r="E46" s="43" t="s">
        <v>66</v>
      </c>
      <c r="F46" s="43" t="s">
        <v>75</v>
      </c>
      <c r="G46" s="44" t="s">
        <v>76</v>
      </c>
      <c r="H46" s="43"/>
      <c r="I46" s="46">
        <v>46076.354166666664</v>
      </c>
      <c r="J46" s="46">
        <v>46076.430555555555</v>
      </c>
      <c r="K46" s="45" t="str">
        <f t="shared" ca="1" si="0"/>
        <v>Completed</v>
      </c>
      <c r="L46" s="47">
        <v>1.83</v>
      </c>
      <c r="M46" s="47">
        <v>1.83</v>
      </c>
      <c r="N46" s="45">
        <f>IF(ISBLANK(L46), "", L46*VLOOKUP($F46,Internal!$B$26:$C$32,2,FALSE))</f>
        <v>0</v>
      </c>
      <c r="O46" s="45">
        <f>IF(ISBLANK(M46), "", M46*VLOOKUP($F46,Internal!$B$26:$C$32,2,FALSE))</f>
        <v>0</v>
      </c>
      <c r="P46" s="44" t="s">
        <v>77</v>
      </c>
    </row>
    <row r="47" spans="2:16" ht="15.75" thickBot="1" x14ac:dyDescent="0.3">
      <c r="B47" s="41">
        <v>37</v>
      </c>
      <c r="C47" s="42" t="str">
        <f>IF(ISBLANK(D47), "", _xlfn.CONCAT("T", TEXT(B47, "0000"), "/", VLOOKUP(D47, Internal!$B$35:C$39, 2, FALSE), IF(OR(D47="QA", D47="Revision"), _xlfn.CONCAT("/", H47), "")))</f>
        <v>T0037/D</v>
      </c>
      <c r="D47" s="44" t="s">
        <v>37</v>
      </c>
      <c r="E47" s="43" t="s">
        <v>53</v>
      </c>
      <c r="F47" s="43" t="s">
        <v>39</v>
      </c>
      <c r="G47" s="44" t="s">
        <v>48</v>
      </c>
      <c r="H47" s="43"/>
      <c r="I47" s="46">
        <v>46089.975694444445</v>
      </c>
      <c r="J47" s="46">
        <v>46090.022916666669</v>
      </c>
      <c r="K47" s="45" t="str">
        <f t="shared" ca="1" si="0"/>
        <v>Completed</v>
      </c>
      <c r="L47" s="47">
        <v>3</v>
      </c>
      <c r="M47" s="47">
        <v>1.1299999999999999</v>
      </c>
      <c r="N47" s="45">
        <f>IF(ISBLANK(L47), "", L47*VLOOKUP($F47,Internal!$B$26:$C$32,2,FALSE))</f>
        <v>75</v>
      </c>
      <c r="O47" s="45">
        <f>IF(ISBLANK(M47), "", M47*VLOOKUP($F47,Internal!$B$26:$C$32,2,FALSE))</f>
        <v>28.249999999999996</v>
      </c>
      <c r="P47" s="44" t="s">
        <v>82</v>
      </c>
    </row>
    <row r="48" spans="2:16" ht="15.75" thickBot="1" x14ac:dyDescent="0.3">
      <c r="B48" s="41">
        <v>38</v>
      </c>
      <c r="C48" s="42" t="str">
        <f>IF(ISBLANK(D48), "", _xlfn.CONCAT("T", TEXT(B48, "0000"), "/", VLOOKUP(D48, Internal!$B$35:C$39, 2, FALSE), IF(OR(D48="QA", D48="Revision"), _xlfn.CONCAT("/", H48), "")))</f>
        <v>T0038/D</v>
      </c>
      <c r="D48" s="44" t="s">
        <v>37</v>
      </c>
      <c r="E48" s="43" t="s">
        <v>53</v>
      </c>
      <c r="F48" s="43" t="s">
        <v>39</v>
      </c>
      <c r="G48" s="44" t="s">
        <v>48</v>
      </c>
      <c r="H48" s="43"/>
      <c r="I48" s="46">
        <v>46097.011805555558</v>
      </c>
      <c r="J48" s="46">
        <v>46097.040972222225</v>
      </c>
      <c r="K48" s="45" t="str">
        <f t="shared" ca="1" si="0"/>
        <v>Completed</v>
      </c>
      <c r="L48" s="47">
        <v>2</v>
      </c>
      <c r="M48" s="47">
        <v>0.7</v>
      </c>
      <c r="N48" s="45">
        <f>IF(ISBLANK(L48), "", L48*VLOOKUP($F48,Internal!$B$26:$C$32,2,FALSE))</f>
        <v>50</v>
      </c>
      <c r="O48" s="45">
        <f>IF(ISBLANK(M48), "", M48*VLOOKUP($F48,Internal!$B$26:$C$32,2,FALSE))</f>
        <v>17.5</v>
      </c>
      <c r="P48" s="44" t="s">
        <v>83</v>
      </c>
    </row>
    <row r="49" spans="2:16" ht="15.75" thickBot="1" x14ac:dyDescent="0.3">
      <c r="B49" s="41">
        <v>39</v>
      </c>
      <c r="C49" s="42" t="str">
        <f>IF(ISBLANK(D49), "", _xlfn.CONCAT("T", TEXT(B49, "0000"), "/", VLOOKUP(D49, Internal!$B$35:C$39, 2, FALSE), IF(OR(D49="QA", D49="Revision"), _xlfn.CONCAT("/", H49), "")))</f>
        <v>T0039/D</v>
      </c>
      <c r="D49" s="44" t="s">
        <v>37</v>
      </c>
      <c r="E49" s="43" t="s">
        <v>53</v>
      </c>
      <c r="F49" s="43" t="s">
        <v>39</v>
      </c>
      <c r="G49" s="44" t="s">
        <v>48</v>
      </c>
      <c r="H49" s="43"/>
      <c r="I49" s="46">
        <v>46096.898611111108</v>
      </c>
      <c r="J49" s="46">
        <v>46097.011111111111</v>
      </c>
      <c r="K49" s="45" t="str">
        <f t="shared" ca="1" si="0"/>
        <v>Completed</v>
      </c>
      <c r="L49" s="47">
        <v>3</v>
      </c>
      <c r="M49" s="47">
        <v>2.2999999999999998</v>
      </c>
      <c r="N49" s="45">
        <f>IF(ISBLANK(L49), "", L49*VLOOKUP($F49,Internal!$B$26:$C$32,2,FALSE))</f>
        <v>75</v>
      </c>
      <c r="O49" s="45">
        <f>IF(ISBLANK(M49), "", M49*VLOOKUP($F49,Internal!$B$26:$C$32,2,FALSE))</f>
        <v>57.499999999999993</v>
      </c>
      <c r="P49" s="44" t="s">
        <v>84</v>
      </c>
    </row>
    <row r="50" spans="2:16" ht="15.75" thickBot="1" x14ac:dyDescent="0.3">
      <c r="B50" s="41">
        <v>40</v>
      </c>
      <c r="C50" s="42" t="str">
        <f>IF(ISBLANK(D50), "", _xlfn.CONCAT("T", TEXT(B50, "0000"), "/", VLOOKUP(D50, Internal!$B$35:C$39, 2, FALSE), IF(OR(D50="QA", D50="Revision"), _xlfn.CONCAT("/", H50), "")))</f>
        <v>T0040/D</v>
      </c>
      <c r="D50" s="44" t="s">
        <v>37</v>
      </c>
      <c r="E50" s="43" t="s">
        <v>53</v>
      </c>
      <c r="F50" s="43" t="s">
        <v>39</v>
      </c>
      <c r="G50" s="44" t="s">
        <v>48</v>
      </c>
      <c r="H50" s="43"/>
      <c r="I50" s="46">
        <v>46097.040972222225</v>
      </c>
      <c r="J50" s="46">
        <v>46097.043055555558</v>
      </c>
      <c r="K50" s="45" t="str">
        <f t="shared" ca="1" si="0"/>
        <v>Completed</v>
      </c>
      <c r="L50" s="47">
        <v>1</v>
      </c>
      <c r="M50" s="47">
        <v>0.05</v>
      </c>
      <c r="N50" s="45">
        <f>IF(ISBLANK(L50), "", L50*VLOOKUP($F50,Internal!$B$26:$C$32,2,FALSE))</f>
        <v>25</v>
      </c>
      <c r="O50" s="45">
        <f>IF(ISBLANK(M50), "", M50*VLOOKUP($F50,Internal!$B$26:$C$32,2,FALSE))</f>
        <v>1.25</v>
      </c>
      <c r="P50" s="44" t="s">
        <v>85</v>
      </c>
    </row>
    <row r="51" spans="2:16" ht="15.75" thickBot="1" x14ac:dyDescent="0.3">
      <c r="B51" s="41">
        <v>41</v>
      </c>
      <c r="C51" s="42" t="str">
        <f>IF(ISBLANK(D51), "", _xlfn.CONCAT("T", TEXT(B51, "0000"), "/", VLOOKUP(D51, Internal!$B$35:C$39, 2, FALSE), IF(OR(D51="QA", D51="Revision"), _xlfn.CONCAT("/", H51), "")))</f>
        <v>T0041/D</v>
      </c>
      <c r="D51" s="44" t="s">
        <v>37</v>
      </c>
      <c r="E51" s="43" t="s">
        <v>53</v>
      </c>
      <c r="F51" s="43" t="s">
        <v>39</v>
      </c>
      <c r="G51" s="44" t="s">
        <v>72</v>
      </c>
      <c r="H51" s="43"/>
      <c r="I51" s="46">
        <v>46089.935416666667</v>
      </c>
      <c r="J51" s="46">
        <v>46089.974999999999</v>
      </c>
      <c r="K51" s="45" t="str">
        <f t="shared" ca="1" si="0"/>
        <v>Completed</v>
      </c>
      <c r="L51" s="47">
        <v>1.5</v>
      </c>
      <c r="M51" s="47">
        <v>0.95</v>
      </c>
      <c r="N51" s="45">
        <f>IF(ISBLANK(L51), "", L51*VLOOKUP($F51,Internal!$B$26:$C$32,2,FALSE))</f>
        <v>37.5</v>
      </c>
      <c r="O51" s="45">
        <f>IF(ISBLANK(M51), "", M51*VLOOKUP($F51,Internal!$B$26:$C$32,2,FALSE))</f>
        <v>23.75</v>
      </c>
      <c r="P51" s="44" t="s">
        <v>86</v>
      </c>
    </row>
    <row r="52" spans="2:16" ht="15.75" thickBot="1" x14ac:dyDescent="0.3">
      <c r="B52" s="41">
        <v>42</v>
      </c>
      <c r="C52" s="42" t="str">
        <f>IF(ISBLANK(D52), "", _xlfn.CONCAT("T", TEXT(B52, "0000"), "/", VLOOKUP(D52, Internal!$B$35:C$39, 2, FALSE), IF(OR(D52="QA", D52="Revision"), _xlfn.CONCAT("/", H52), "")))</f>
        <v>T0042/D</v>
      </c>
      <c r="D52" s="44" t="s">
        <v>37</v>
      </c>
      <c r="E52" s="43" t="s">
        <v>38</v>
      </c>
      <c r="F52" s="43" t="s">
        <v>39</v>
      </c>
      <c r="G52" s="44" t="s">
        <v>48</v>
      </c>
      <c r="H52" s="43"/>
      <c r="I52" s="46">
        <v>46090.875</v>
      </c>
      <c r="J52" s="46">
        <v>46090.964583333334</v>
      </c>
      <c r="K52" s="45" t="str">
        <f t="shared" ca="1" si="0"/>
        <v>Completed</v>
      </c>
      <c r="L52" s="47">
        <v>3</v>
      </c>
      <c r="M52" s="47">
        <v>2.15</v>
      </c>
      <c r="N52" s="45">
        <f>IF(ISBLANK(L52), "", L52*VLOOKUP($F52,Internal!$B$26:$C$32,2,FALSE))</f>
        <v>75</v>
      </c>
      <c r="O52" s="45">
        <f>IF(ISBLANK(M52), "", M52*VLOOKUP($F52,Internal!$B$26:$C$32,2,FALSE))</f>
        <v>53.75</v>
      </c>
      <c r="P52" s="44" t="s">
        <v>87</v>
      </c>
    </row>
    <row r="53" spans="2:16" ht="15.75" thickBot="1" x14ac:dyDescent="0.3">
      <c r="B53" s="41">
        <v>43</v>
      </c>
      <c r="C53" s="42" t="str">
        <f>IF(ISBLANK(D53), "", _xlfn.CONCAT("T", TEXT(B53, "0000"), "/", VLOOKUP(D53, Internal!$B$35:C$39, 2, FALSE), IF(OR(D53="QA", D53="Revision"), _xlfn.CONCAT("/", H53), "")))</f>
        <v>T0043/D</v>
      </c>
      <c r="D53" s="44" t="s">
        <v>37</v>
      </c>
      <c r="E53" s="43" t="s">
        <v>38</v>
      </c>
      <c r="F53" s="43" t="s">
        <v>39</v>
      </c>
      <c r="G53" s="44" t="s">
        <v>48</v>
      </c>
      <c r="H53" s="43"/>
      <c r="I53" s="46">
        <v>46096.944444444445</v>
      </c>
      <c r="J53" s="46">
        <v>46096.979166666664</v>
      </c>
      <c r="K53" s="45" t="str">
        <f t="shared" ca="1" si="0"/>
        <v>Completed</v>
      </c>
      <c r="L53" s="47">
        <v>2</v>
      </c>
      <c r="M53" s="47">
        <v>1</v>
      </c>
      <c r="N53" s="45">
        <f>IF(ISBLANK(L53), "", L53*VLOOKUP($F53,Internal!$B$26:$C$32,2,FALSE))</f>
        <v>50</v>
      </c>
      <c r="O53" s="45">
        <f>IF(ISBLANK(M53), "", M53*VLOOKUP($F53,Internal!$B$26:$C$32,2,FALSE))</f>
        <v>25</v>
      </c>
      <c r="P53" s="44" t="s">
        <v>88</v>
      </c>
    </row>
    <row r="54" spans="2:16" ht="15.75" thickBot="1" x14ac:dyDescent="0.3">
      <c r="B54" s="41">
        <v>44</v>
      </c>
      <c r="C54" s="42" t="str">
        <f>IF(ISBLANK(D54), "", _xlfn.CONCAT("T", TEXT(B54, "0000"), "/", VLOOKUP(D54, Internal!$B$35:C$39, 2, FALSE), IF(OR(D54="QA", D54="Revision"), _xlfn.CONCAT("/", H54), "")))</f>
        <v>T0044/D</v>
      </c>
      <c r="D54" s="44" t="s">
        <v>37</v>
      </c>
      <c r="E54" s="43" t="s">
        <v>38</v>
      </c>
      <c r="F54" s="43" t="s">
        <v>39</v>
      </c>
      <c r="G54" s="44" t="s">
        <v>48</v>
      </c>
      <c r="H54" s="43"/>
      <c r="I54" s="46">
        <v>46093.729166666664</v>
      </c>
      <c r="J54" s="46">
        <v>46096.979166666664</v>
      </c>
      <c r="K54" s="53" t="str">
        <f t="shared" ca="1" si="0"/>
        <v>Completed</v>
      </c>
      <c r="L54" s="47">
        <v>3</v>
      </c>
      <c r="M54" s="47">
        <v>5.5</v>
      </c>
      <c r="N54" s="45">
        <f>IF(ISBLANK(L54), "", L54*VLOOKUP($F54,Internal!$B$26:$C$32,2,FALSE))</f>
        <v>75</v>
      </c>
      <c r="O54" s="45">
        <f>IF(ISBLANK(M54), "", M54*VLOOKUP($F54,Internal!$B$26:$C$32,2,FALSE))</f>
        <v>137.5</v>
      </c>
      <c r="P54" s="44" t="s">
        <v>89</v>
      </c>
    </row>
    <row r="55" spans="2:16" ht="15.75" thickBot="1" x14ac:dyDescent="0.3">
      <c r="B55" s="41">
        <v>45</v>
      </c>
      <c r="C55" s="42" t="str">
        <f>IF(ISBLANK(D55), "", _xlfn.CONCAT("T", TEXT(B55, "0000"), "/", VLOOKUP(D55, Internal!$B$35:C$39, 2, FALSE), IF(OR(D55="QA", D55="Revision"), _xlfn.CONCAT("/", H55), "")))</f>
        <v>T0045/D</v>
      </c>
      <c r="D55" s="44" t="s">
        <v>37</v>
      </c>
      <c r="E55" s="43" t="s">
        <v>38</v>
      </c>
      <c r="F55" s="43" t="s">
        <v>39</v>
      </c>
      <c r="G55" s="44" t="s">
        <v>48</v>
      </c>
      <c r="H55" s="43"/>
      <c r="I55" s="46">
        <v>46096.979166666664</v>
      </c>
      <c r="J55" s="46">
        <v>46096.981944444444</v>
      </c>
      <c r="K55" s="45" t="str">
        <f t="shared" ca="1" si="0"/>
        <v>Completed</v>
      </c>
      <c r="L55" s="47">
        <v>1</v>
      </c>
      <c r="M55" s="47">
        <v>7.0000000000000007E-2</v>
      </c>
      <c r="N55" s="45">
        <f>IF(ISBLANK(L55), "", L55*VLOOKUP($F55,Internal!$B$26:$C$32,2,FALSE))</f>
        <v>25</v>
      </c>
      <c r="O55" s="45">
        <f>IF(ISBLANK(M55), "", M55*VLOOKUP($F55,Internal!$B$26:$C$32,2,FALSE))</f>
        <v>1.7500000000000002</v>
      </c>
      <c r="P55" s="44" t="s">
        <v>90</v>
      </c>
    </row>
    <row r="56" spans="2:16" ht="15.75" thickBot="1" x14ac:dyDescent="0.3">
      <c r="B56" s="41">
        <v>46</v>
      </c>
      <c r="C56" s="42" t="str">
        <f>IF(ISBLANK(D56), "", _xlfn.CONCAT("T", TEXT(B56, "0000"), "/", VLOOKUP(D56, Internal!$B$35:C$39, 2, FALSE), IF(OR(D56="QA", D56="Revision"), _xlfn.CONCAT("/", H56), "")))</f>
        <v>T0046/D</v>
      </c>
      <c r="D56" s="44" t="s">
        <v>37</v>
      </c>
      <c r="E56" s="43" t="s">
        <v>38</v>
      </c>
      <c r="F56" s="43" t="s">
        <v>39</v>
      </c>
      <c r="G56" s="44" t="s">
        <v>72</v>
      </c>
      <c r="H56" s="43"/>
      <c r="I56" s="46">
        <v>46081.760416666664</v>
      </c>
      <c r="J56" s="46">
        <v>46081.833333333336</v>
      </c>
      <c r="K56" s="45" t="str">
        <f t="shared" ca="1" si="0"/>
        <v>Completed</v>
      </c>
      <c r="L56" s="47">
        <v>1.5</v>
      </c>
      <c r="M56" s="47">
        <v>1.75</v>
      </c>
      <c r="N56" s="45">
        <f>IF(ISBLANK(L56), "", L56*VLOOKUP($F56,Internal!$B$26:$C$32,2,FALSE))</f>
        <v>37.5</v>
      </c>
      <c r="O56" s="45">
        <f>IF(ISBLANK(M56), "", M56*VLOOKUP($F56,Internal!$B$26:$C$32,2,FALSE))</f>
        <v>43.75</v>
      </c>
      <c r="P56" s="44" t="s">
        <v>91</v>
      </c>
    </row>
    <row r="57" spans="2:16" ht="15.75" thickBot="1" x14ac:dyDescent="0.3">
      <c r="B57" s="41">
        <v>47</v>
      </c>
      <c r="C57" s="42" t="str">
        <f>IF(ISBLANK(D57), "", _xlfn.CONCAT("T", TEXT(B57, "0000"), "/", VLOOKUP(D57, Internal!$B$35:C$39, 2, FALSE), IF(OR(D57="QA", D57="Revision"), _xlfn.CONCAT("/", H57), "")))</f>
        <v>T0047/D</v>
      </c>
      <c r="D57" s="44" t="s">
        <v>37</v>
      </c>
      <c r="E57" s="43" t="s">
        <v>61</v>
      </c>
      <c r="F57" s="43" t="s">
        <v>39</v>
      </c>
      <c r="G57" s="44" t="s">
        <v>48</v>
      </c>
      <c r="H57" s="43"/>
      <c r="I57" s="46">
        <v>46093.731249999997</v>
      </c>
      <c r="J57" s="46">
        <v>46093.847916666666</v>
      </c>
      <c r="K57" s="45" t="str">
        <f t="shared" ca="1" si="0"/>
        <v>Completed</v>
      </c>
      <c r="L57" s="47">
        <v>3</v>
      </c>
      <c r="M57" s="47">
        <v>2.74</v>
      </c>
      <c r="N57" s="45">
        <f>IF(ISBLANK(L57), "", L57*VLOOKUP($F57,Internal!$B$26:$C$32,2,FALSE))</f>
        <v>75</v>
      </c>
      <c r="O57" s="45">
        <f>IF(ISBLANK(M57), "", M57*VLOOKUP($F57,Internal!$B$26:$C$32,2,FALSE))</f>
        <v>68.5</v>
      </c>
      <c r="P57" s="44" t="s">
        <v>92</v>
      </c>
    </row>
    <row r="58" spans="2:16" ht="15.75" thickBot="1" x14ac:dyDescent="0.3">
      <c r="B58" s="41">
        <v>48</v>
      </c>
      <c r="C58" s="42" t="str">
        <f>IF(ISBLANK(D58), "", _xlfn.CONCAT("T", TEXT(B58, "0000"), "/", VLOOKUP(D58, Internal!$B$35:C$39, 2, FALSE), IF(OR(D58="QA", D58="Revision"), _xlfn.CONCAT("/", H58), "")))</f>
        <v>T0048/D</v>
      </c>
      <c r="D58" s="44" t="s">
        <v>37</v>
      </c>
      <c r="E58" s="43" t="s">
        <v>61</v>
      </c>
      <c r="F58" s="43" t="s">
        <v>39</v>
      </c>
      <c r="G58" s="44" t="s">
        <v>48</v>
      </c>
      <c r="H58" s="43"/>
      <c r="I58" s="46">
        <v>46097.047222222223</v>
      </c>
      <c r="J58" s="46">
        <v>46097.181944444441</v>
      </c>
      <c r="K58" s="45" t="str">
        <f t="shared" ca="1" si="0"/>
        <v>Completed</v>
      </c>
      <c r="L58" s="47">
        <v>2</v>
      </c>
      <c r="M58" s="47">
        <v>3.23</v>
      </c>
      <c r="N58" s="45">
        <f>IF(ISBLANK(L58), "", L58*VLOOKUP($F58,Internal!$B$26:$C$32,2,FALSE))</f>
        <v>50</v>
      </c>
      <c r="O58" s="45">
        <f>IF(ISBLANK(M58), "", M58*VLOOKUP($F58,Internal!$B$26:$C$32,2,FALSE))</f>
        <v>80.75</v>
      </c>
      <c r="P58" s="44" t="s">
        <v>93</v>
      </c>
    </row>
    <row r="59" spans="2:16" ht="15.75" thickBot="1" x14ac:dyDescent="0.3">
      <c r="B59" s="41">
        <v>49</v>
      </c>
      <c r="C59" s="42" t="str">
        <f>IF(ISBLANK(D59), "", _xlfn.CONCAT("T", TEXT(B59, "0000"), "/", VLOOKUP(D59, Internal!$B$35:C$39, 2, FALSE), IF(OR(D59="QA", D59="Revision"), _xlfn.CONCAT("/", H59), "")))</f>
        <v>T0049/D</v>
      </c>
      <c r="D59" s="44" t="s">
        <v>37</v>
      </c>
      <c r="E59" s="43" t="s">
        <v>61</v>
      </c>
      <c r="F59" s="43" t="s">
        <v>39</v>
      </c>
      <c r="G59" s="44" t="s">
        <v>48</v>
      </c>
      <c r="H59" s="43"/>
      <c r="I59" s="46">
        <v>46096.87222222222</v>
      </c>
      <c r="J59" s="46">
        <v>46097.044444444444</v>
      </c>
      <c r="K59" s="45" t="str">
        <f ca="1">IF(OR(I59="",J59=""),"",IF(AND(J59&lt;&gt;"",I59&gt;=NOW()),"Planned",IF(AND(J59&lt;&gt;"",J59&lt;NOW()),"Completed","Ongoing")))</f>
        <v>Completed</v>
      </c>
      <c r="L59" s="47">
        <v>3</v>
      </c>
      <c r="M59" s="47">
        <v>4.13</v>
      </c>
      <c r="N59" s="45">
        <f>IF(ISBLANK(L59), "", L59*VLOOKUP($F59,Internal!$B$26:$C$32,2,FALSE))</f>
        <v>75</v>
      </c>
      <c r="O59" s="45">
        <f>IF(ISBLANK(M59), "", M59*VLOOKUP($F59,Internal!$B$26:$C$32,2,FALSE))</f>
        <v>103.25</v>
      </c>
      <c r="P59" s="44" t="s">
        <v>94</v>
      </c>
    </row>
    <row r="60" spans="2:16" ht="15.75" thickBot="1" x14ac:dyDescent="0.3">
      <c r="B60" s="41">
        <v>50</v>
      </c>
      <c r="C60" s="42" t="str">
        <f>IF(ISBLANK(D60), "", _xlfn.CONCAT("T", TEXT(B60, "0000"), "/", VLOOKUP(D60, Internal!$B$35:C$39, 2, FALSE), IF(OR(D60="QA", D60="Revision"), _xlfn.CONCAT("/", H60), "")))</f>
        <v>T0050/D</v>
      </c>
      <c r="D60" s="44" t="s">
        <v>37</v>
      </c>
      <c r="E60" s="43" t="s">
        <v>61</v>
      </c>
      <c r="F60" s="43" t="s">
        <v>39</v>
      </c>
      <c r="G60" s="44" t="s">
        <v>48</v>
      </c>
      <c r="H60" s="43"/>
      <c r="I60" s="46">
        <v>46097</v>
      </c>
      <c r="J60" s="46">
        <v>46097.00277777778</v>
      </c>
      <c r="K60" s="45" t="str">
        <f t="shared" ca="1" si="0"/>
        <v>Completed</v>
      </c>
      <c r="L60" s="47">
        <v>1</v>
      </c>
      <c r="M60" s="47">
        <v>6.7000000000000004E-2</v>
      </c>
      <c r="N60" s="45">
        <f>IF(ISBLANK(L60), "", L60*VLOOKUP($F60,Internal!$B$26:$C$32,2,FALSE))</f>
        <v>25</v>
      </c>
      <c r="O60" s="45">
        <f>IF(ISBLANK(M60), "", M60*VLOOKUP($F60,Internal!$B$26:$C$32,2,FALSE))</f>
        <v>1.675</v>
      </c>
      <c r="P60" s="44" t="s">
        <v>95</v>
      </c>
    </row>
    <row r="61" spans="2:16" ht="15.75" thickBot="1" x14ac:dyDescent="0.3">
      <c r="B61" s="41">
        <v>51</v>
      </c>
      <c r="C61" s="42" t="str">
        <f>IF(ISBLANK(D61), "", _xlfn.CONCAT("T", TEXT(B61, "0000"), "/", VLOOKUP(D61, Internal!$B$35:C$39, 2, FALSE), IF(OR(D61="QA", D61="Revision"), _xlfn.CONCAT("/", H61), "")))</f>
        <v>T0051/D</v>
      </c>
      <c r="D61" s="44" t="s">
        <v>37</v>
      </c>
      <c r="E61" s="43" t="s">
        <v>61</v>
      </c>
      <c r="F61" s="43" t="s">
        <v>39</v>
      </c>
      <c r="G61" s="44" t="s">
        <v>72</v>
      </c>
      <c r="H61" s="43"/>
      <c r="I61" s="46">
        <v>46085.459722222222</v>
      </c>
      <c r="J61" s="46">
        <v>46085.494444444441</v>
      </c>
      <c r="K61" s="45" t="str">
        <f t="shared" ca="1" si="0"/>
        <v>Completed</v>
      </c>
      <c r="L61" s="47">
        <v>1.5</v>
      </c>
      <c r="M61" s="47">
        <v>0.83</v>
      </c>
      <c r="N61" s="45">
        <f>IF(ISBLANK(L61), "", L61*VLOOKUP($F61,Internal!$B$26:$C$32,2,FALSE))</f>
        <v>37.5</v>
      </c>
      <c r="O61" s="45">
        <f>IF(ISBLANK(M61), "", M61*VLOOKUP($F61,Internal!$B$26:$C$32,2,FALSE))</f>
        <v>20.75</v>
      </c>
      <c r="P61" s="44" t="s">
        <v>96</v>
      </c>
    </row>
    <row r="62" spans="2:16" ht="15.75" thickBot="1" x14ac:dyDescent="0.3">
      <c r="B62" s="41">
        <v>52</v>
      </c>
      <c r="C62" s="42" t="str">
        <f>IF(ISBLANK(D62), "", _xlfn.CONCAT("T", TEXT(B62, "0000"), "/", VLOOKUP(D62, Internal!$B$35:C$39, 2, FALSE), IF(OR(D62="QA", D62="Revision"), _xlfn.CONCAT("/", H62), "")))</f>
        <v>T0052/D</v>
      </c>
      <c r="D62" s="44" t="s">
        <v>37</v>
      </c>
      <c r="E62" s="43" t="s">
        <v>58</v>
      </c>
      <c r="F62" s="43" t="s">
        <v>39</v>
      </c>
      <c r="G62" s="44" t="s">
        <v>48</v>
      </c>
      <c r="H62" s="43"/>
      <c r="I62" s="46">
        <v>46091.70416666667</v>
      </c>
      <c r="J62" s="46">
        <v>46093.865972222222</v>
      </c>
      <c r="K62" s="45" t="str">
        <f t="shared" ca="1" si="0"/>
        <v>Completed</v>
      </c>
      <c r="L62" s="47">
        <v>3</v>
      </c>
      <c r="M62" s="47">
        <v>3.23</v>
      </c>
      <c r="N62" s="45">
        <f>IF(ISBLANK(L62), "", L62*VLOOKUP($F62,Internal!$B$26:$C$32,2,FALSE))</f>
        <v>75</v>
      </c>
      <c r="O62" s="45">
        <f>IF(ISBLANK(M62), "", M62*VLOOKUP($F62,Internal!$B$26:$C$32,2,FALSE))</f>
        <v>80.75</v>
      </c>
      <c r="P62" s="44" t="s">
        <v>97</v>
      </c>
    </row>
    <row r="63" spans="2:16" ht="15.75" thickBot="1" x14ac:dyDescent="0.3">
      <c r="B63" s="41">
        <v>53</v>
      </c>
      <c r="C63" s="42" t="str">
        <f>IF(ISBLANK(D63), "", _xlfn.CONCAT("T", TEXT(B63, "0000"), "/", VLOOKUP(D63, Internal!$B$35:C$39, 2, FALSE), IF(OR(D63="QA", D63="Revision"), _xlfn.CONCAT("/", H63), "")))</f>
        <v>T0053/D</v>
      </c>
      <c r="D63" s="44" t="s">
        <v>37</v>
      </c>
      <c r="E63" s="43" t="s">
        <v>58</v>
      </c>
      <c r="F63" s="43" t="s">
        <v>39</v>
      </c>
      <c r="G63" s="44" t="s">
        <v>48</v>
      </c>
      <c r="H63" s="43"/>
      <c r="I63" s="46">
        <v>46097.680555555555</v>
      </c>
      <c r="J63" s="46">
        <v>46097.783958333333</v>
      </c>
      <c r="K63" s="45" t="str">
        <f t="shared" ca="1" si="0"/>
        <v>Completed</v>
      </c>
      <c r="L63" s="47">
        <v>2</v>
      </c>
      <c r="M63" s="47">
        <v>2.46</v>
      </c>
      <c r="N63" s="45">
        <f>IF(ISBLANK(L63), "", L63*VLOOKUP($F63,Internal!$B$26:$C$32,2,FALSE))</f>
        <v>50</v>
      </c>
      <c r="O63" s="45">
        <f>IF(ISBLANK(M63), "", M63*VLOOKUP($F63,Internal!$B$26:$C$32,2,FALSE))</f>
        <v>61.5</v>
      </c>
      <c r="P63" s="44" t="s">
        <v>98</v>
      </c>
    </row>
    <row r="64" spans="2:16" ht="15.75" thickBot="1" x14ac:dyDescent="0.3">
      <c r="B64" s="41">
        <v>54</v>
      </c>
      <c r="C64" s="42" t="str">
        <f>IF(ISBLANK(D64), "", _xlfn.CONCAT("T", TEXT(B64, "0000"), "/", VLOOKUP(D64, Internal!$B$35:C$39, 2, FALSE), IF(OR(D64="QA", D64="Revision"), _xlfn.CONCAT("/", H64), "")))</f>
        <v>T0054/D</v>
      </c>
      <c r="D64" s="44" t="s">
        <v>37</v>
      </c>
      <c r="E64" s="43" t="s">
        <v>58</v>
      </c>
      <c r="F64" s="43" t="s">
        <v>39</v>
      </c>
      <c r="G64" s="44" t="s">
        <v>48</v>
      </c>
      <c r="H64" s="43"/>
      <c r="I64" s="46">
        <v>46096.357638888891</v>
      </c>
      <c r="J64" s="46">
        <v>46097.636111111111</v>
      </c>
      <c r="K64" s="45" t="str">
        <f t="shared" ca="1" si="0"/>
        <v>Completed</v>
      </c>
      <c r="L64" s="47">
        <v>3</v>
      </c>
      <c r="M64" s="47">
        <v>4.25</v>
      </c>
      <c r="N64" s="45">
        <f>IF(ISBLANK(L64), "", L64*VLOOKUP($F64,Internal!$B$26:$C$32,2,FALSE))</f>
        <v>75</v>
      </c>
      <c r="O64" s="45">
        <f>IF(ISBLANK(M64), "", M64*VLOOKUP($F64,Internal!$B$26:$C$32,2,FALSE))</f>
        <v>106.25</v>
      </c>
      <c r="P64" s="44" t="s">
        <v>99</v>
      </c>
    </row>
    <row r="65" spans="2:16" ht="15.75" thickBot="1" x14ac:dyDescent="0.3">
      <c r="B65" s="41">
        <v>55</v>
      </c>
      <c r="C65" s="42" t="str">
        <f>IF(ISBLANK(D65), "", _xlfn.CONCAT("T", TEXT(B65, "0000"), "/", VLOOKUP(D65, Internal!$B$35:C$39, 2, FALSE), IF(OR(D65="QA", D65="Revision"), _xlfn.CONCAT("/", H65), "")))</f>
        <v>T0055/D</v>
      </c>
      <c r="D65" s="44" t="s">
        <v>37</v>
      </c>
      <c r="E65" s="43" t="s">
        <v>58</v>
      </c>
      <c r="F65" s="43" t="s">
        <v>39</v>
      </c>
      <c r="G65" s="44" t="s">
        <v>48</v>
      </c>
      <c r="H65" s="43"/>
      <c r="I65" s="46">
        <v>46097.783333333333</v>
      </c>
      <c r="J65" s="46">
        <v>46097.793749999997</v>
      </c>
      <c r="K65" s="45" t="str">
        <f t="shared" ca="1" si="0"/>
        <v>Completed</v>
      </c>
      <c r="L65" s="47">
        <v>1</v>
      </c>
      <c r="M65" s="47">
        <v>7.0000000000000007E-2</v>
      </c>
      <c r="N65" s="45">
        <f>IF(ISBLANK(L65), "", L65*VLOOKUP($F65,Internal!$B$26:$C$32,2,FALSE))</f>
        <v>25</v>
      </c>
      <c r="O65" s="45">
        <f>IF(ISBLANK(M65), "", M65*VLOOKUP($F65,Internal!$B$26:$C$32,2,FALSE))</f>
        <v>1.7500000000000002</v>
      </c>
      <c r="P65" s="44" t="s">
        <v>100</v>
      </c>
    </row>
    <row r="66" spans="2:16" ht="15.75" thickBot="1" x14ac:dyDescent="0.3">
      <c r="B66" s="41">
        <v>56</v>
      </c>
      <c r="C66" s="42" t="str">
        <f>IF(ISBLANK(D66), "", _xlfn.CONCAT("T", TEXT(B66, "0000"), "/", VLOOKUP(D66, Internal!$B$35:C$39, 2, FALSE), IF(OR(D66="QA", D66="Revision"), _xlfn.CONCAT("/", H66), "")))</f>
        <v>T0056/D</v>
      </c>
      <c r="D66" s="44" t="s">
        <v>37</v>
      </c>
      <c r="E66" s="43" t="s">
        <v>58</v>
      </c>
      <c r="F66" s="43" t="s">
        <v>39</v>
      </c>
      <c r="G66" s="44" t="s">
        <v>72</v>
      </c>
      <c r="H66" s="43"/>
      <c r="I66" s="46">
        <v>46090.043749999997</v>
      </c>
      <c r="J66" s="46">
        <v>46090.135416666664</v>
      </c>
      <c r="K66" s="45" t="str">
        <f t="shared" ca="1" si="0"/>
        <v>Completed</v>
      </c>
      <c r="L66" s="47">
        <v>1.5</v>
      </c>
      <c r="M66" s="47">
        <v>2.2000000000000002</v>
      </c>
      <c r="N66" s="45">
        <f>IF(ISBLANK(L66), "", L66*VLOOKUP($F66,Internal!$B$26:$C$32,2,FALSE))</f>
        <v>37.5</v>
      </c>
      <c r="O66" s="45">
        <f>IF(ISBLANK(M66), "", M66*VLOOKUP($F66,Internal!$B$26:$C$32,2,FALSE))</f>
        <v>55.000000000000007</v>
      </c>
      <c r="P66" s="44" t="s">
        <v>101</v>
      </c>
    </row>
    <row r="67" spans="2:16" ht="15.75" thickBot="1" x14ac:dyDescent="0.3">
      <c r="B67" s="41">
        <v>57</v>
      </c>
      <c r="C67" s="42" t="str">
        <f>IF(ISBLANK(D67), "", _xlfn.CONCAT("T", TEXT(B67, "0000"), "/", VLOOKUP(D67, Internal!$B$35:C$39, 2, FALSE), IF(OR(D67="QA", D67="Revision"), _xlfn.CONCAT("/", H67), "")))</f>
        <v>T0057/R/</v>
      </c>
      <c r="D67" s="44" t="s">
        <v>74</v>
      </c>
      <c r="E67" s="43" t="s">
        <v>66</v>
      </c>
      <c r="F67" s="43" t="s">
        <v>75</v>
      </c>
      <c r="G67" s="44" t="s">
        <v>76</v>
      </c>
      <c r="H67" s="43"/>
      <c r="I67" s="46">
        <v>46083.354166666664</v>
      </c>
      <c r="J67" s="46">
        <v>46083.430555555555</v>
      </c>
      <c r="K67" s="45" t="str">
        <f t="shared" ca="1" si="0"/>
        <v>Completed</v>
      </c>
      <c r="L67" s="47">
        <v>1.83</v>
      </c>
      <c r="M67" s="47">
        <v>1.83</v>
      </c>
      <c r="N67" s="45">
        <f>IF(ISBLANK(L67), "", L67*VLOOKUP($F67,Internal!$B$26:$C$32,2,FALSE))</f>
        <v>0</v>
      </c>
      <c r="O67" s="45">
        <f>IF(ISBLANK(M67), "", M67*VLOOKUP($F67,Internal!$B$26:$C$32,2,FALSE))</f>
        <v>0</v>
      </c>
      <c r="P67" s="44" t="s">
        <v>77</v>
      </c>
    </row>
    <row r="68" spans="2:16" ht="15.75" thickBot="1" x14ac:dyDescent="0.3">
      <c r="B68" s="41">
        <v>58</v>
      </c>
      <c r="C68" s="42" t="str">
        <f>IF(ISBLANK(D68), "", _xlfn.CONCAT("T", TEXT(B68, "0000"), "/", VLOOKUP(D68, Internal!$B$35:C$39, 2, FALSE), IF(OR(D68="QA", D68="Revision"), _xlfn.CONCAT("/", H68), "")))</f>
        <v>T0058/R/</v>
      </c>
      <c r="D68" s="44" t="s">
        <v>74</v>
      </c>
      <c r="E68" s="43" t="s">
        <v>66</v>
      </c>
      <c r="F68" s="43" t="s">
        <v>75</v>
      </c>
      <c r="G68" s="44" t="s">
        <v>76</v>
      </c>
      <c r="H68" s="43"/>
      <c r="I68" s="46">
        <v>46086.444444444445</v>
      </c>
      <c r="J68" s="46">
        <v>46086.520833333336</v>
      </c>
      <c r="K68" s="45" t="str">
        <f t="shared" ca="1" si="0"/>
        <v>Completed</v>
      </c>
      <c r="L68" s="47">
        <v>1.83</v>
      </c>
      <c r="M68" s="47">
        <v>1.83</v>
      </c>
      <c r="N68" s="45">
        <f>IF(ISBLANK(L68), "", L68*VLOOKUP($F68,Internal!$B$26:$C$32,2,FALSE))</f>
        <v>0</v>
      </c>
      <c r="O68" s="45">
        <f>IF(ISBLANK(M68), "", M68*VLOOKUP($F68,Internal!$B$26:$C$32,2,FALSE))</f>
        <v>0</v>
      </c>
      <c r="P68" s="44" t="s">
        <v>81</v>
      </c>
    </row>
    <row r="69" spans="2:16" ht="15.75" thickBot="1" x14ac:dyDescent="0.3">
      <c r="B69" s="41">
        <v>59</v>
      </c>
      <c r="C69" s="42" t="str">
        <f>IF(ISBLANK(D69), "", _xlfn.CONCAT("T", TEXT(B69, "0000"), "/", VLOOKUP(D69, Internal!$B$35:C$39, 2, FALSE), IF(OR(D69="QA", D69="Revision"), _xlfn.CONCAT("/", H69), "")))</f>
        <v>T0059/D</v>
      </c>
      <c r="D69" s="44" t="s">
        <v>37</v>
      </c>
      <c r="E69" s="43" t="s">
        <v>31</v>
      </c>
      <c r="F69" s="43" t="s">
        <v>39</v>
      </c>
      <c r="G69" s="44" t="s">
        <v>102</v>
      </c>
      <c r="H69" s="43"/>
      <c r="I69" s="46">
        <v>46089.44027777778</v>
      </c>
      <c r="J69" s="46">
        <v>46089.489583333336</v>
      </c>
      <c r="K69" s="45" t="str">
        <f t="shared" ca="1" si="0"/>
        <v>Completed</v>
      </c>
      <c r="L69" s="47">
        <v>1</v>
      </c>
      <c r="M69" s="47">
        <v>1</v>
      </c>
      <c r="N69" s="45">
        <f>IF(ISBLANK(L69), "", L69*VLOOKUP($F69,Internal!$B$26:$C$32,2,FALSE))</f>
        <v>25</v>
      </c>
      <c r="O69" s="45">
        <f>IF(ISBLANK(M69), "", M69*VLOOKUP($F69,Internal!$B$26:$C$32,2,FALSE))</f>
        <v>25</v>
      </c>
      <c r="P69" s="44" t="s">
        <v>103</v>
      </c>
    </row>
    <row r="70" spans="2:16" ht="15.75" thickBot="1" x14ac:dyDescent="0.3">
      <c r="B70" s="41">
        <v>60</v>
      </c>
      <c r="C70" s="42" t="str">
        <f>IF(ISBLANK(D70), "", _xlfn.CONCAT("T", TEXT(B70, "0000"), "/", VLOOKUP(D70, Internal!$B$35:C$39, 2, FALSE), IF(OR(D70="QA", D70="Revision"), _xlfn.CONCAT("/", H70), "")))</f>
        <v>T0060/R/</v>
      </c>
      <c r="D70" s="44" t="s">
        <v>74</v>
      </c>
      <c r="E70" s="43" t="s">
        <v>66</v>
      </c>
      <c r="F70" s="43" t="s">
        <v>75</v>
      </c>
      <c r="G70" s="44" t="s">
        <v>76</v>
      </c>
      <c r="H70" s="43"/>
      <c r="I70" s="46">
        <v>46093.444444444445</v>
      </c>
      <c r="J70" s="46">
        <v>46093.520833333336</v>
      </c>
      <c r="K70" s="45" t="str">
        <f t="shared" ca="1" si="0"/>
        <v>Completed</v>
      </c>
      <c r="L70" s="47">
        <v>1.83</v>
      </c>
      <c r="M70" s="47">
        <v>1.83</v>
      </c>
      <c r="N70" s="45">
        <f>IF(ISBLANK(L70), "", L70*VLOOKUP($F70,Internal!$B$26:$C$32,2,FALSE))</f>
        <v>0</v>
      </c>
      <c r="O70" s="45">
        <f>IF(ISBLANK(M70), "", M70*VLOOKUP($F70,Internal!$B$26:$C$32,2,FALSE))</f>
        <v>0</v>
      </c>
      <c r="P70" s="44" t="s">
        <v>81</v>
      </c>
    </row>
    <row r="71" spans="2:16" ht="15.75" thickBot="1" x14ac:dyDescent="0.3">
      <c r="B71" s="41">
        <v>61</v>
      </c>
      <c r="C71" s="42" t="str">
        <f>IF(ISBLANK(D71), "", _xlfn.CONCAT("T", TEXT(B71, "0000"), "/", VLOOKUP(D71, Internal!$B$35:C$39, 2, FALSE), IF(OR(D71="QA", D71="Revision"), _xlfn.CONCAT("/", H71), "")))</f>
        <v>T0061/R/</v>
      </c>
      <c r="D71" s="44" t="s">
        <v>74</v>
      </c>
      <c r="E71" s="43" t="s">
        <v>66</v>
      </c>
      <c r="F71" s="43" t="s">
        <v>75</v>
      </c>
      <c r="G71" s="44" t="s">
        <v>76</v>
      </c>
      <c r="H71" s="43"/>
      <c r="I71" s="46">
        <v>46097.354166666664</v>
      </c>
      <c r="J71" s="46">
        <v>46097.430555555555</v>
      </c>
      <c r="K71" s="45" t="str">
        <f t="shared" ca="1" si="0"/>
        <v>Completed</v>
      </c>
      <c r="L71" s="47">
        <v>1.83</v>
      </c>
      <c r="M71" s="47">
        <v>1.83</v>
      </c>
      <c r="N71" s="45">
        <f>IF(ISBLANK(L71), "", L71*VLOOKUP($F71,Internal!$B$26:$C$32,2,FALSE))</f>
        <v>0</v>
      </c>
      <c r="O71" s="45">
        <f>IF(ISBLANK(M71), "", M71*VLOOKUP($F71,Internal!$B$26:$C$32,2,FALSE))</f>
        <v>0</v>
      </c>
      <c r="P71" s="44" t="s">
        <v>77</v>
      </c>
    </row>
    <row r="72" spans="2:16" ht="15.75" thickBot="1" x14ac:dyDescent="0.3">
      <c r="B72" s="41">
        <v>62</v>
      </c>
      <c r="C72" s="42" t="str">
        <f>IF(ISBLANK(D72), "", _xlfn.CONCAT("T", TEXT(B72, "0000"), "/", VLOOKUP(D72, Internal!$B$35:C$39, 2, FALSE), IF(OR(D72="QA", D72="Revision"), _xlfn.CONCAT("/", H72), "")))</f>
        <v>T0062/D</v>
      </c>
      <c r="D72" s="44" t="s">
        <v>37</v>
      </c>
      <c r="E72" s="43" t="s">
        <v>66</v>
      </c>
      <c r="F72" s="43" t="s">
        <v>39</v>
      </c>
      <c r="G72" s="44" t="s">
        <v>102</v>
      </c>
      <c r="H72" s="43"/>
      <c r="I72" s="46">
        <v>46097.364583333336</v>
      </c>
      <c r="J72" s="46">
        <v>46097.375</v>
      </c>
      <c r="K72" s="45" t="str">
        <f t="shared" ca="1" si="0"/>
        <v>Completed</v>
      </c>
      <c r="L72" s="47">
        <v>0.3</v>
      </c>
      <c r="M72" s="47">
        <v>0.25</v>
      </c>
      <c r="N72" s="45">
        <f>IF(ISBLANK(L72), "", L72*VLOOKUP($F72,Internal!$B$26:$C$32,2,FALSE))</f>
        <v>7.5</v>
      </c>
      <c r="O72" s="45">
        <f>IF(ISBLANK(M72), "", M72*VLOOKUP($F72,Internal!$B$26:$C$32,2,FALSE))</f>
        <v>6.25</v>
      </c>
      <c r="P72" s="44" t="s">
        <v>104</v>
      </c>
    </row>
    <row r="73" spans="2:16" ht="15.75" thickBot="1" x14ac:dyDescent="0.3">
      <c r="B73" s="41">
        <v>63</v>
      </c>
      <c r="C73" s="42" t="str">
        <f>IF(ISBLANK(D73), "", _xlfn.CONCAT("T", TEXT(B73, "0000"), "/", VLOOKUP(D73, Internal!$B$35:C$39, 2, FALSE), IF(OR(D73="QA", D73="Revision"), _xlfn.CONCAT("/", H73), "")))</f>
        <v>T0063/D</v>
      </c>
      <c r="D73" s="44" t="s">
        <v>37</v>
      </c>
      <c r="E73" s="43" t="s">
        <v>38</v>
      </c>
      <c r="F73" s="43" t="s">
        <v>39</v>
      </c>
      <c r="G73" s="44" t="s">
        <v>102</v>
      </c>
      <c r="H73" s="54"/>
      <c r="I73" s="46">
        <v>46097.354166666664</v>
      </c>
      <c r="J73" s="46">
        <v>46097.364583333336</v>
      </c>
      <c r="K73" s="45" t="str">
        <f t="shared" ca="1" si="0"/>
        <v>Completed</v>
      </c>
      <c r="L73" s="47">
        <v>0.3</v>
      </c>
      <c r="M73" s="47">
        <v>0.25</v>
      </c>
      <c r="N73" s="45">
        <f>IF(ISBLANK(L73), "", L73*VLOOKUP($F73,Internal!$B$26:$C$32,2,FALSE))</f>
        <v>7.5</v>
      </c>
      <c r="O73" s="45">
        <f>IF(ISBLANK(M73), "", M73*VLOOKUP($F73,Internal!$B$26:$C$32,2,FALSE))</f>
        <v>6.25</v>
      </c>
      <c r="P73" s="44" t="s">
        <v>105</v>
      </c>
    </row>
    <row r="74" spans="2:16" ht="15.75" thickBot="1" x14ac:dyDescent="0.3">
      <c r="B74" s="41">
        <v>64</v>
      </c>
      <c r="C74" s="42" t="str">
        <f>IF(ISBLANK(D74), "", _xlfn.CONCAT("T", TEXT(B74, "0000"), "/", VLOOKUP(D74, Internal!$B$35:C$39, 2, FALSE), IF(OR(D74="QA", D74="Revision"), _xlfn.CONCAT("/", H74), "")))</f>
        <v>T0064/D</v>
      </c>
      <c r="D74" s="44" t="s">
        <v>37</v>
      </c>
      <c r="E74" s="43" t="s">
        <v>38</v>
      </c>
      <c r="F74" s="43" t="s">
        <v>39</v>
      </c>
      <c r="G74" s="44" t="s">
        <v>102</v>
      </c>
      <c r="H74" s="43"/>
      <c r="I74" s="46">
        <v>46097.458333333336</v>
      </c>
      <c r="J74" s="46">
        <v>46097.498611111114</v>
      </c>
      <c r="K74" s="45" t="str">
        <f t="shared" ca="1" si="0"/>
        <v>Completed</v>
      </c>
      <c r="L74" s="47">
        <v>1</v>
      </c>
      <c r="M74" s="47">
        <v>1</v>
      </c>
      <c r="N74" s="45">
        <f>IF(ISBLANK(L74), "", L74*VLOOKUP($F74,Internal!$B$26:$C$32,2,FALSE))</f>
        <v>25</v>
      </c>
      <c r="O74" s="45">
        <f>IF(ISBLANK(M74), "", M74*VLOOKUP($F74,Internal!$B$26:$C$32,2,FALSE))</f>
        <v>25</v>
      </c>
      <c r="P74" s="44" t="s">
        <v>106</v>
      </c>
    </row>
    <row r="75" spans="2:16" ht="15.75" thickBot="1" x14ac:dyDescent="0.3">
      <c r="B75" s="41">
        <v>65</v>
      </c>
      <c r="C75" s="42" t="str">
        <f>IF(ISBLANK(D75), "", _xlfn.CONCAT("T", TEXT(B75, "0000"), "/", VLOOKUP(D75, Internal!$B$35:C$39, 2, FALSE), IF(OR(D75="QA", D75="Revision"), _xlfn.CONCAT("/", H75), "")))</f>
        <v>T0065/D</v>
      </c>
      <c r="D75" s="44" t="s">
        <v>37</v>
      </c>
      <c r="E75" s="43" t="s">
        <v>31</v>
      </c>
      <c r="F75" s="43" t="s">
        <v>39</v>
      </c>
      <c r="G75" s="44" t="s">
        <v>102</v>
      </c>
      <c r="H75" s="43"/>
      <c r="I75" s="46">
        <v>46098.447916666664</v>
      </c>
      <c r="J75" s="46">
        <v>46098.468055555553</v>
      </c>
      <c r="K75" s="45" t="str">
        <f t="shared" ca="1" si="0"/>
        <v>Completed</v>
      </c>
      <c r="L75" s="47">
        <v>1</v>
      </c>
      <c r="M75" s="47">
        <v>0.5</v>
      </c>
      <c r="N75" s="45">
        <f>IF(ISBLANK(L75), "", L75*VLOOKUP($F75,Internal!$B$26:$C$32,2,FALSE))</f>
        <v>25</v>
      </c>
      <c r="O75" s="45">
        <f>IF(ISBLANK(M75), "", M75*VLOOKUP($F75,Internal!$B$26:$C$32,2,FALSE))</f>
        <v>12.5</v>
      </c>
      <c r="P75" s="44" t="s">
        <v>107</v>
      </c>
    </row>
    <row r="76" spans="2:16" ht="15.75" thickBot="1" x14ac:dyDescent="0.3">
      <c r="B76" s="41">
        <v>66</v>
      </c>
      <c r="C76" s="42" t="str">
        <f>IF(ISBLANK(D76), "", _xlfn.CONCAT("T", TEXT(B76, "0000"), "/", VLOOKUP(D76, Internal!$B$35:C$39, 2, FALSE), IF(OR(D76="QA", D76="Revision"), _xlfn.CONCAT("/", H76), "")))</f>
        <v>T0066/D</v>
      </c>
      <c r="D76" s="44" t="s">
        <v>37</v>
      </c>
      <c r="E76" s="43" t="s">
        <v>31</v>
      </c>
      <c r="F76" s="43" t="s">
        <v>39</v>
      </c>
      <c r="G76" s="44" t="s">
        <v>102</v>
      </c>
      <c r="H76" s="43"/>
      <c r="I76" s="46">
        <v>46099.35833333333</v>
      </c>
      <c r="J76" s="46">
        <v>46099.363888888889</v>
      </c>
      <c r="K76" s="45" t="str">
        <f t="shared" ref="K76:K110" ca="1" si="1">IF(OR(I76="",J76=""),"",IF(AND(J76&lt;&gt;"",I76&gt;=NOW()),"Planned",IF(AND(J76&lt;&gt;"",J76&lt;NOW()),"Completed","Ongoing")))</f>
        <v>Completed</v>
      </c>
      <c r="L76" s="47">
        <v>0.25</v>
      </c>
      <c r="M76" s="47">
        <v>0.12</v>
      </c>
      <c r="N76" s="45">
        <f>IF(ISBLANK(L76), "", L76*VLOOKUP($F76,Internal!$B$26:$C$32,2,FALSE))</f>
        <v>6.25</v>
      </c>
      <c r="O76" s="45">
        <f>IF(ISBLANK(M76), "", M76*VLOOKUP($F76,Internal!$B$26:$C$32,2,FALSE))</f>
        <v>3</v>
      </c>
      <c r="P76" s="44" t="s">
        <v>108</v>
      </c>
    </row>
    <row r="77" spans="2:16" ht="15.75" thickBot="1" x14ac:dyDescent="0.3">
      <c r="B77" s="41">
        <v>67</v>
      </c>
      <c r="C77" s="42" t="str">
        <f>IF(ISBLANK(D77), "", _xlfn.CONCAT("T", TEXT(B77, "0000"), "/", VLOOKUP(D77, Internal!$B$35:C$39, 2, FALSE), IF(OR(D77="QA", D77="Revision"), _xlfn.CONCAT("/", H77), "")))</f>
        <v>T0067/D</v>
      </c>
      <c r="D77" s="44" t="s">
        <v>37</v>
      </c>
      <c r="E77" s="43" t="s">
        <v>38</v>
      </c>
      <c r="F77" s="43" t="s">
        <v>39</v>
      </c>
      <c r="G77" s="44" t="s">
        <v>102</v>
      </c>
      <c r="H77" s="43"/>
      <c r="I77" s="46">
        <v>46100.854166666664</v>
      </c>
      <c r="J77" s="46">
        <v>46100.898611111108</v>
      </c>
      <c r="K77" s="45" t="str">
        <f t="shared" ca="1" si="1"/>
        <v>Completed</v>
      </c>
      <c r="L77" s="47">
        <v>1</v>
      </c>
      <c r="M77" s="47">
        <v>1</v>
      </c>
      <c r="N77" s="45">
        <f>IF(ISBLANK(L77), "", L77*VLOOKUP($F77,Internal!$B$26:$C$32,2,FALSE))</f>
        <v>25</v>
      </c>
      <c r="O77" s="45">
        <f>IF(ISBLANK(M77), "", M77*VLOOKUP($F77,Internal!$B$26:$C$32,2,FALSE))</f>
        <v>25</v>
      </c>
      <c r="P77" s="44" t="s">
        <v>109</v>
      </c>
    </row>
    <row r="78" spans="2:16" ht="15.75" thickBot="1" x14ac:dyDescent="0.3">
      <c r="B78" s="41">
        <v>68</v>
      </c>
      <c r="C78" s="42" t="str">
        <f>IF(ISBLANK(D78), "", _xlfn.CONCAT("T", TEXT(B78, "0000"), "/", VLOOKUP(D78, Internal!$B$35:C$39, 2, FALSE), IF(OR(D80="QA", D80="Revision"), _xlfn.CONCAT("/", H80), "")))</f>
        <v>T0068/D</v>
      </c>
      <c r="D78" s="44" t="s">
        <v>37</v>
      </c>
      <c r="E78" s="43" t="s">
        <v>53</v>
      </c>
      <c r="F78" s="43" t="s">
        <v>39</v>
      </c>
      <c r="G78" s="44" t="s">
        <v>102</v>
      </c>
      <c r="H78" s="43"/>
      <c r="I78" s="46">
        <v>46101.010416666664</v>
      </c>
      <c r="J78" s="46">
        <v>46101.086805555555</v>
      </c>
      <c r="K78" s="45" t="str">
        <f t="shared" ca="1" si="1"/>
        <v>Completed</v>
      </c>
      <c r="L78" s="47">
        <v>1</v>
      </c>
      <c r="M78" s="47">
        <v>1.92</v>
      </c>
      <c r="N78" s="45">
        <f>IF(ISBLANK(L78), "", L78*VLOOKUP($F78,Internal!$B$26:$C$32,2,FALSE))</f>
        <v>25</v>
      </c>
      <c r="O78" s="45">
        <f>IF(ISBLANK(M78), "", M78*VLOOKUP($F78,Internal!$B$26:$C$32,2,FALSE))</f>
        <v>48</v>
      </c>
      <c r="P78" s="44" t="s">
        <v>110</v>
      </c>
    </row>
    <row r="79" spans="2:16" ht="15.75" thickBot="1" x14ac:dyDescent="0.3">
      <c r="B79" s="41">
        <v>69</v>
      </c>
      <c r="C79" s="42" t="str">
        <f>C81</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6:C7"/>
    <mergeCell ref="I9:J9"/>
    <mergeCell ref="L9:M9"/>
    <mergeCell ref="N9:O9"/>
    <mergeCell ref="C2:P2"/>
    <mergeCell ref="C4:P4"/>
  </mergeCells>
  <phoneticPr fontId="4" type="noConversion"/>
  <conditionalFormatting sqref="H11:H110">
    <cfRule type="expression" dxfId="5" priority="2">
      <formula>AND(H11&lt;&gt;"",COUNTIF($C$11:$C$110,H11)=0)</formula>
    </cfRule>
  </conditionalFormatting>
  <conditionalFormatting sqref="J11:J55 J57:J110">
    <cfRule type="expression" dxfId="4" priority="1">
      <formula>AND(I11&lt;&gt;"",J11&lt;&gt;"", I11&gt;J11)</formula>
    </cfRule>
  </conditionalFormatting>
  <dataValidations xWindow="613" yWindow="898" count="9">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P11:P110 K11:K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xWindow="613" yWindow="898"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I11:I110 J56</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J11:J55 J57:J110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tabSelected="1" zoomScaleNormal="100" workbookViewId="0">
      <pane ySplit="10" topLeftCell="A11" activePane="bottomLeft" state="frozen"/>
      <selection pane="bottomLeft" activeCell="M16" sqref="M16"/>
    </sheetView>
  </sheetViews>
  <sheetFormatPr baseColWidth="10" defaultColWidth="9.28515625" defaultRowHeight="15" x14ac:dyDescent="0.25"/>
  <cols>
    <col min="3" max="15" width="18.7109375" customWidth="1"/>
    <col min="16" max="16" width="64.5703125" customWidth="1"/>
  </cols>
  <sheetData>
    <row r="2" spans="2:16" x14ac:dyDescent="0.25">
      <c r="C2" s="56" t="s">
        <v>111</v>
      </c>
      <c r="D2" s="56"/>
      <c r="E2" s="56"/>
      <c r="F2" s="56"/>
      <c r="G2" s="56"/>
      <c r="H2" s="56"/>
      <c r="I2" s="56"/>
      <c r="J2" s="56"/>
      <c r="K2" s="56"/>
      <c r="L2" s="56"/>
      <c r="M2" s="56"/>
      <c r="N2" s="56"/>
      <c r="O2" s="56"/>
      <c r="P2" s="56"/>
    </row>
    <row r="4" spans="2:16" ht="15" customHeight="1" x14ac:dyDescent="0.25">
      <c r="C4" s="57" t="s">
        <v>10</v>
      </c>
      <c r="D4" s="57"/>
      <c r="E4" s="57"/>
      <c r="F4" s="57"/>
      <c r="G4" s="57"/>
      <c r="H4" s="57"/>
      <c r="I4" s="57"/>
      <c r="J4" s="57"/>
      <c r="K4" s="57"/>
      <c r="L4" s="57"/>
      <c r="M4" s="57"/>
      <c r="N4" s="57"/>
      <c r="O4" s="57"/>
      <c r="P4" s="57"/>
    </row>
    <row r="5" spans="2:16" x14ac:dyDescent="0.25">
      <c r="C5" s="5"/>
      <c r="D5" s="5"/>
      <c r="E5" s="5"/>
      <c r="F5" s="5"/>
      <c r="G5" s="5"/>
      <c r="H5" s="5"/>
      <c r="I5" s="5"/>
      <c r="J5" s="5"/>
      <c r="K5" s="5"/>
      <c r="L5" s="5"/>
      <c r="M5" s="5"/>
      <c r="N5" s="5"/>
      <c r="O5" s="5"/>
      <c r="P5" s="5"/>
    </row>
    <row r="6" spans="2:16" x14ac:dyDescent="0.25">
      <c r="C6" s="58" t="s">
        <v>11</v>
      </c>
      <c r="D6" s="10" t="s">
        <v>12</v>
      </c>
      <c r="E6" s="35">
        <f>SUM(N11:N110)</f>
        <v>468.75</v>
      </c>
      <c r="F6" s="5"/>
      <c r="G6" s="5"/>
      <c r="H6" s="5"/>
      <c r="I6" s="5"/>
      <c r="J6" s="5"/>
      <c r="K6" s="5"/>
      <c r="L6" s="5"/>
      <c r="M6" s="5"/>
      <c r="N6" s="5"/>
      <c r="O6" s="5"/>
      <c r="P6" s="5"/>
    </row>
    <row r="7" spans="2:16" x14ac:dyDescent="0.25">
      <c r="C7" s="58"/>
      <c r="D7" s="11" t="s">
        <v>13</v>
      </c>
      <c r="E7" s="36">
        <f>SUM(O11:O110)</f>
        <v>687.42499999999995</v>
      </c>
      <c r="J7" s="37"/>
    </row>
    <row r="9" spans="2:16" x14ac:dyDescent="0.25">
      <c r="B9" s="6"/>
      <c r="C9" s="7"/>
      <c r="D9" s="7"/>
      <c r="E9" s="7"/>
      <c r="F9" s="7"/>
      <c r="G9" s="7"/>
      <c r="H9" s="7"/>
      <c r="I9" s="59" t="s">
        <v>14</v>
      </c>
      <c r="J9" s="59"/>
      <c r="K9" s="7"/>
      <c r="L9" s="59" t="s">
        <v>15</v>
      </c>
      <c r="M9" s="59"/>
      <c r="N9" s="59" t="s">
        <v>16</v>
      </c>
      <c r="O9" s="59"/>
      <c r="P9" s="7"/>
    </row>
    <row r="10" spans="2:16" ht="15.75" thickBot="1" x14ac:dyDescent="0.3">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x14ac:dyDescent="0.3">
      <c r="B11" s="41">
        <v>1</v>
      </c>
      <c r="C11" s="42" t="str">
        <f>IF(ISBLANK(D11), "", _xlfn.CONCAT("T", TEXT(B11, "0000"), "/", VLOOKUP(D11, Internal!$B$35:C$39, 2, FALSE), IF(OR(D11="QA", D11="Revision"), _xlfn.CONCAT("/", H11), "")))</f>
        <v>T0001/M</v>
      </c>
      <c r="D11" s="55" t="s">
        <v>30</v>
      </c>
      <c r="E11" s="43" t="s">
        <v>31</v>
      </c>
      <c r="F11" s="43" t="s">
        <v>32</v>
      </c>
      <c r="G11" s="44" t="s">
        <v>46</v>
      </c>
      <c r="H11" s="43"/>
      <c r="I11" s="46">
        <v>46138.883333333331</v>
      </c>
      <c r="J11" s="46">
        <v>46139.00277777778</v>
      </c>
      <c r="K11" s="45" t="str">
        <f ca="1">IF(OR(I11="",J11=""),"",IF(AND(J11&lt;&gt;"",I11&gt;=NOW()),"Planned",IF(AND(J11&lt;&gt;"",J11&lt;NOW()),"Completed","Ongoing")))</f>
        <v>Completed</v>
      </c>
      <c r="L11" s="47">
        <v>2.5</v>
      </c>
      <c r="M11" s="47">
        <v>2.75</v>
      </c>
      <c r="N11" s="45">
        <f>IF(ISBLANK(L11), "", L11*VLOOKUP($F11,Internal!$B$26:$C$32,2,FALSE))</f>
        <v>125</v>
      </c>
      <c r="O11" s="45">
        <f>IF(ISBLANK(M11), "", M11*VLOOKUP($F11,Internal!$B$26:$C$32,2,FALSE))</f>
        <v>137.5</v>
      </c>
      <c r="P11" s="44" t="s">
        <v>112</v>
      </c>
    </row>
    <row r="12" spans="2:16" ht="15.75" thickBot="1" x14ac:dyDescent="0.3">
      <c r="B12" s="41">
        <v>2</v>
      </c>
      <c r="C12" s="42" t="str">
        <f>IF(ISBLANK(D12), "", _xlfn.CONCAT("T", TEXT(B12, "0000"), "/", VLOOKUP(D12, Internal!$B$35:C$39, 2, FALSE), IF(OR(D12="QA", D12="Revision"), _xlfn.CONCAT("/", H12), "")))</f>
        <v>T0002/D</v>
      </c>
      <c r="D12" s="44" t="s">
        <v>37</v>
      </c>
      <c r="E12" s="43" t="s">
        <v>31</v>
      </c>
      <c r="F12" s="43" t="s">
        <v>39</v>
      </c>
      <c r="G12" s="44" t="s">
        <v>48</v>
      </c>
      <c r="H12" s="43"/>
      <c r="I12" s="46">
        <v>46139.361111111109</v>
      </c>
      <c r="J12" s="46">
        <v>46139.37222222222</v>
      </c>
      <c r="K12" s="45" t="str">
        <f ca="1">IF(OR(I12="",J12=""),"",IF(AND(J12&lt;&gt;"",I12&gt;=NOW()),"Planned",IF(AND(J12&lt;&gt;"",J12&lt;NOW()),"Completed","Ongoing")))</f>
        <v>Completed</v>
      </c>
      <c r="L12" s="47">
        <v>0.5</v>
      </c>
      <c r="M12" s="47">
        <v>0.26700000000000002</v>
      </c>
      <c r="N12" s="45">
        <f>IF(ISBLANK(L12), "", L12*VLOOKUP($F12,Internal!$B$26:$C$32,2,FALSE))</f>
        <v>12.5</v>
      </c>
      <c r="O12" s="45">
        <f>IF(ISBLANK(M12), "", M12*VLOOKUP($F12,Internal!$B$26:$C$32,2,FALSE))</f>
        <v>6.6750000000000007</v>
      </c>
      <c r="P12" s="44" t="s">
        <v>113</v>
      </c>
    </row>
    <row r="13" spans="2:16" ht="15.75" thickBot="1" x14ac:dyDescent="0.3">
      <c r="B13" s="41">
        <v>3</v>
      </c>
      <c r="C13" s="42" t="str">
        <f>IF(ISBLANK(D13), "", _xlfn.CONCAT("T", TEXT(B13, "0000"), "/", VLOOKUP(D13, Internal!$B$35:C$39, 2, FALSE), IF(OR(D13="QA", D13="Revision"), _xlfn.CONCAT("/", H13), "")))</f>
        <v>T0003/D</v>
      </c>
      <c r="D13" s="44" t="s">
        <v>37</v>
      </c>
      <c r="E13" s="43" t="s">
        <v>53</v>
      </c>
      <c r="F13" s="43" t="s">
        <v>39</v>
      </c>
      <c r="G13" s="44" t="s">
        <v>48</v>
      </c>
      <c r="H13" s="43"/>
      <c r="I13" s="46">
        <v>46140.62222222222</v>
      </c>
      <c r="J13" s="46">
        <v>46140.668055555558</v>
      </c>
      <c r="K13" s="45" t="str">
        <f t="shared" ref="K13:K75" ca="1" si="0">IF(OR(I13="",J13=""),"",IF(AND(J13&lt;&gt;"",I13&gt;=NOW()),"Planned",IF(AND(J13&lt;&gt;"",J13&lt;NOW()),"Completed","Ongoing")))</f>
        <v>Completed</v>
      </c>
      <c r="L13" s="47">
        <v>1</v>
      </c>
      <c r="M13" s="47">
        <v>1.1000000000000001</v>
      </c>
      <c r="N13" s="45">
        <f>IF(ISBLANK(L13), "", L13*VLOOKUP($F13,Internal!$B$26:$C$32,2,FALSE))</f>
        <v>25</v>
      </c>
      <c r="O13" s="45">
        <f>IF(ISBLANK(M13), "", M13*VLOOKUP($F13,Internal!$B$26:$C$32,2,FALSE))</f>
        <v>27.500000000000004</v>
      </c>
      <c r="P13" s="44" t="s">
        <v>114</v>
      </c>
    </row>
    <row r="14" spans="2:16" ht="15.75" thickBot="1" x14ac:dyDescent="0.3">
      <c r="B14" s="41">
        <v>4</v>
      </c>
      <c r="C14" s="42" t="str">
        <f>IF(ISBLANK(D14), "", _xlfn.CONCAT("T", TEXT(B14, "0000"), "/", VLOOKUP(D14, Internal!$B$35:C$39, 2, FALSE), IF(OR(D14="QA", D14="Revision"), _xlfn.CONCAT("/", H14), "")))</f>
        <v>T0004/D</v>
      </c>
      <c r="D14" s="44" t="s">
        <v>37</v>
      </c>
      <c r="E14" s="43" t="s">
        <v>38</v>
      </c>
      <c r="F14" s="43" t="s">
        <v>39</v>
      </c>
      <c r="G14" s="44" t="s">
        <v>48</v>
      </c>
      <c r="H14" s="43"/>
      <c r="I14" s="46">
        <v>46139.368055555555</v>
      </c>
      <c r="J14" s="46">
        <v>46139.395833333336</v>
      </c>
      <c r="K14" s="45" t="str">
        <f t="shared" ca="1" si="0"/>
        <v>Completed</v>
      </c>
      <c r="L14" s="47">
        <v>0.5</v>
      </c>
      <c r="M14" s="47">
        <v>0.66</v>
      </c>
      <c r="N14" s="45">
        <f>IF(ISBLANK(L14), "", L14*VLOOKUP($F14,Internal!$B$26:$C$32,2,FALSE))</f>
        <v>12.5</v>
      </c>
      <c r="O14" s="45">
        <f>IF(ISBLANK(M14), "", M14*VLOOKUP($F14,Internal!$B$26:$C$32,2,FALSE))</f>
        <v>16.5</v>
      </c>
      <c r="P14" s="44" t="s">
        <v>115</v>
      </c>
    </row>
    <row r="15" spans="2:16" ht="15.75" thickBot="1" x14ac:dyDescent="0.3">
      <c r="B15" s="41">
        <v>5</v>
      </c>
      <c r="C15" s="42" t="str">
        <f>IF(ISBLANK(D15), "", _xlfn.CONCAT("T", TEXT(B15, "0000"), "/", VLOOKUP(D15, Internal!$B$35:C$39, 2, FALSE), IF(OR(D15="QA", D15="Revision"), _xlfn.CONCAT("/", H15), "")))</f>
        <v>T0005/D</v>
      </c>
      <c r="D15" s="44" t="s">
        <v>37</v>
      </c>
      <c r="E15" s="43" t="s">
        <v>58</v>
      </c>
      <c r="F15" s="43" t="s">
        <v>39</v>
      </c>
      <c r="G15" s="44" t="s">
        <v>48</v>
      </c>
      <c r="H15" s="43"/>
      <c r="I15" s="46">
        <v>46148.818055555559</v>
      </c>
      <c r="J15" s="46">
        <v>46149.993750000001</v>
      </c>
      <c r="K15" s="45" t="str">
        <f t="shared" ca="1" si="0"/>
        <v>Completed</v>
      </c>
      <c r="L15" s="47">
        <v>2</v>
      </c>
      <c r="M15" s="47">
        <v>4</v>
      </c>
      <c r="N15" s="45">
        <f>IF(ISBLANK(L15), "", L15*VLOOKUP($F15,Internal!$B$26:$C$32,2,FALSE))</f>
        <v>50</v>
      </c>
      <c r="O15" s="45">
        <f>IF(ISBLANK(M15), "", M15*VLOOKUP($F15,Internal!$B$26:$C$32,2,FALSE))</f>
        <v>100</v>
      </c>
      <c r="P15" s="44" t="s">
        <v>116</v>
      </c>
    </row>
    <row r="16" spans="2:16" ht="15.75" thickBot="1" x14ac:dyDescent="0.3">
      <c r="B16" s="41">
        <v>6</v>
      </c>
      <c r="C16" s="42" t="str">
        <f>IF(ISBLANK(D16), "", _xlfn.CONCAT("T", TEXT(B16, "0000"), "/", VLOOKUP(D16, Internal!$B$35:C$39, 2, FALSE), IF(OR(D16="QA", D16="Revision"), _xlfn.CONCAT("/", H16), "")))</f>
        <v>T0006/D</v>
      </c>
      <c r="D16" s="44" t="s">
        <v>37</v>
      </c>
      <c r="E16" s="43" t="s">
        <v>61</v>
      </c>
      <c r="F16" s="43" t="s">
        <v>39</v>
      </c>
      <c r="G16" s="44" t="s">
        <v>48</v>
      </c>
      <c r="H16" s="43"/>
      <c r="I16" s="46">
        <v>46149.444444444445</v>
      </c>
      <c r="J16" s="46">
        <v>46149.492361111108</v>
      </c>
      <c r="K16" s="45" t="str">
        <f t="shared" ca="1" si="0"/>
        <v>Completed</v>
      </c>
      <c r="L16" s="47">
        <v>1</v>
      </c>
      <c r="M16" s="47">
        <v>1.1499999999999999</v>
      </c>
      <c r="N16" s="45">
        <f>IF(ISBLANK(L16), "", L16*VLOOKUP($F16,Internal!$B$26:$C$32,2,FALSE))</f>
        <v>25</v>
      </c>
      <c r="O16" s="45">
        <f>IF(ISBLANK(M16), "", M16*VLOOKUP($F16,Internal!$B$26:$C$32,2,FALSE))</f>
        <v>28.749999999999996</v>
      </c>
      <c r="P16" s="44" t="s">
        <v>117</v>
      </c>
    </row>
    <row r="17" spans="2:16" ht="15.75" thickBot="1" x14ac:dyDescent="0.3">
      <c r="B17" s="41">
        <v>7</v>
      </c>
      <c r="C17" s="42" t="str">
        <f>IF(ISBLANK(D17), "", _xlfn.CONCAT("T", TEXT(B17, "0000"), "/", VLOOKUP(D17, Internal!$B$35:C$39, 2, FALSE), IF(OR(D17="QA", D17="Revision"), _xlfn.CONCAT("/", H17), "")))</f>
        <v>T0007/D</v>
      </c>
      <c r="D17" s="44" t="s">
        <v>37</v>
      </c>
      <c r="E17" s="43" t="s">
        <v>38</v>
      </c>
      <c r="F17" s="43" t="s">
        <v>39</v>
      </c>
      <c r="G17" s="44" t="s">
        <v>48</v>
      </c>
      <c r="H17" s="43"/>
      <c r="I17" s="46">
        <v>46139.8125</v>
      </c>
      <c r="J17" s="46">
        <v>46147.560416666667</v>
      </c>
      <c r="K17" s="45" t="str">
        <f t="shared" ca="1" si="0"/>
        <v>Completed</v>
      </c>
      <c r="L17" s="47">
        <v>1</v>
      </c>
      <c r="M17" s="47">
        <v>3</v>
      </c>
      <c r="N17" s="45">
        <f>IF(ISBLANK(L17), "", L17*VLOOKUP($F17,Internal!$B$26:$C$32,2,FALSE))</f>
        <v>25</v>
      </c>
      <c r="O17" s="45">
        <f>IF(ISBLANK(M17), "", M17*VLOOKUP($F17,Internal!$B$26:$C$32,2,FALSE))</f>
        <v>75</v>
      </c>
      <c r="P17" s="44" t="s">
        <v>118</v>
      </c>
    </row>
    <row r="18" spans="2:16" ht="15.75" thickBot="1" x14ac:dyDescent="0.3">
      <c r="B18" s="41">
        <v>8</v>
      </c>
      <c r="C18" s="42" t="str">
        <f>IF(ISBLANK(D18), "", _xlfn.CONCAT("T", TEXT(B18, "0000"), "/", VLOOKUP(D18, Internal!$B$35:C$39, 2, FALSE), IF(OR(D18="QA", D18="Revision"), _xlfn.CONCAT("/", H18), "")))</f>
        <v>T0008/D</v>
      </c>
      <c r="D18" s="44" t="s">
        <v>37</v>
      </c>
      <c r="E18" s="43" t="s">
        <v>53</v>
      </c>
      <c r="F18" s="43" t="s">
        <v>39</v>
      </c>
      <c r="G18" s="44" t="s">
        <v>48</v>
      </c>
      <c r="H18" s="43"/>
      <c r="I18" s="46">
        <v>46150.581944444442</v>
      </c>
      <c r="J18" s="46">
        <v>46150.708333333336</v>
      </c>
      <c r="K18" s="45" t="str">
        <f ca="1">IF(OR(I18="",J18=""),"",IF(AND(J18&lt;&gt;"",I18&gt;=NOW()),"Planned",IF(AND(J18&lt;&gt;"",J18&lt;NOW()),"Completed","Ongoing")))</f>
        <v>Completed</v>
      </c>
      <c r="L18" s="47">
        <v>1</v>
      </c>
      <c r="M18" s="47">
        <v>3.04</v>
      </c>
      <c r="N18" s="45">
        <f>IF(ISBLANK(L18), "", L18*VLOOKUP($F18,Internal!$B$26:$C$32,2,FALSE))</f>
        <v>25</v>
      </c>
      <c r="O18" s="45">
        <f>IF(ISBLANK(M18), "", M18*VLOOKUP($F18,Internal!$B$26:$C$32,2,FALSE))</f>
        <v>76</v>
      </c>
      <c r="P18" s="44" t="s">
        <v>119</v>
      </c>
    </row>
    <row r="19" spans="2:16" ht="15.75" thickBot="1" x14ac:dyDescent="0.3">
      <c r="B19" s="41">
        <v>9</v>
      </c>
      <c r="C19" s="42" t="str">
        <f>IF(ISBLANK(D19), "", _xlfn.CONCAT("T", TEXT(B19, "0000"), "/", VLOOKUP(D19, Internal!$B$35:C$39, 2, FALSE), IF(OR(D19="QA", D19="Revision"), _xlfn.CONCAT("/", H19), "")))</f>
        <v>T0009/D</v>
      </c>
      <c r="D19" s="44" t="s">
        <v>37</v>
      </c>
      <c r="E19" s="43" t="s">
        <v>31</v>
      </c>
      <c r="F19" s="43" t="s">
        <v>39</v>
      </c>
      <c r="G19" s="44" t="s">
        <v>48</v>
      </c>
      <c r="H19" s="43"/>
      <c r="I19" s="46">
        <v>46145.988194444442</v>
      </c>
      <c r="J19" s="46">
        <v>46146.008333333331</v>
      </c>
      <c r="K19" s="45" t="str">
        <f t="shared" ca="1" si="0"/>
        <v>Completed</v>
      </c>
      <c r="L19" s="47">
        <v>1</v>
      </c>
      <c r="M19" s="47">
        <v>0.5</v>
      </c>
      <c r="N19" s="45">
        <f>IF(ISBLANK(L19), "", L19*VLOOKUP($F19,Internal!$B$26:$C$32,2,FALSE))</f>
        <v>25</v>
      </c>
      <c r="O19" s="45">
        <f>IF(ISBLANK(M19), "", M19*VLOOKUP($F19,Internal!$B$26:$C$32,2,FALSE))</f>
        <v>12.5</v>
      </c>
      <c r="P19" s="44" t="s">
        <v>120</v>
      </c>
    </row>
    <row r="20" spans="2:16" ht="15.75" thickBot="1" x14ac:dyDescent="0.3">
      <c r="B20" s="41">
        <v>10</v>
      </c>
      <c r="C20" s="42" t="str">
        <f>IF(ISBLANK(D20), "", _xlfn.CONCAT("T", TEXT(B20, "0000"), "/", VLOOKUP(D20, Internal!$B$35:C$39, 2, FALSE), IF(OR(D20="QA", D20="Revision"), _xlfn.CONCAT("/", H20), "")))</f>
        <v>T0010/D</v>
      </c>
      <c r="D20" s="44" t="s">
        <v>37</v>
      </c>
      <c r="E20" s="43" t="s">
        <v>61</v>
      </c>
      <c r="F20" s="43" t="s">
        <v>39</v>
      </c>
      <c r="G20" s="44" t="s">
        <v>48</v>
      </c>
      <c r="H20" s="43"/>
      <c r="I20" s="46">
        <v>46147.683333333334</v>
      </c>
      <c r="J20" s="46">
        <v>46147.757638888892</v>
      </c>
      <c r="K20" s="45" t="str">
        <f t="shared" ca="1" si="0"/>
        <v>Completed</v>
      </c>
      <c r="L20" s="47">
        <v>1.5</v>
      </c>
      <c r="M20" s="47">
        <v>1.78</v>
      </c>
      <c r="N20" s="45">
        <f>IF(ISBLANK(L20), "", L20*VLOOKUP($F20,Internal!$B$26:$C$32,2,FALSE))</f>
        <v>37.5</v>
      </c>
      <c r="O20" s="45">
        <f>IF(ISBLANK(M20), "", M20*VLOOKUP($F20,Internal!$B$26:$C$32,2,FALSE))</f>
        <v>44.5</v>
      </c>
      <c r="P20" s="44" t="s">
        <v>121</v>
      </c>
    </row>
    <row r="21" spans="2:16" ht="15.75" thickBot="1" x14ac:dyDescent="0.3">
      <c r="B21" s="41">
        <v>11</v>
      </c>
      <c r="C21" s="42" t="str">
        <f>IF(ISBLANK(D21), "", _xlfn.CONCAT("T", TEXT(B21, "0000"), "/", VLOOKUP(D21, Internal!$B$35:C$39, 2, FALSE), IF(OR(D21="QA", D21="Revision"), _xlfn.CONCAT("/", H21), "")))</f>
        <v>T0011/D</v>
      </c>
      <c r="D21" s="44" t="s">
        <v>37</v>
      </c>
      <c r="E21" s="43" t="s">
        <v>58</v>
      </c>
      <c r="F21" s="43" t="s">
        <v>39</v>
      </c>
      <c r="G21" s="44" t="s">
        <v>48</v>
      </c>
      <c r="H21" s="43"/>
      <c r="I21" s="46">
        <v>46146.363194444442</v>
      </c>
      <c r="J21" s="46">
        <v>46148.818055555559</v>
      </c>
      <c r="K21" s="45" t="str">
        <f t="shared" ca="1" si="0"/>
        <v>Completed</v>
      </c>
      <c r="L21" s="47">
        <v>1</v>
      </c>
      <c r="M21" s="47">
        <v>2.5</v>
      </c>
      <c r="N21" s="45">
        <f>IF(ISBLANK(L21), "", L21*VLOOKUP($F21,Internal!$B$26:$C$32,2,FALSE))</f>
        <v>25</v>
      </c>
      <c r="O21" s="45">
        <f>IF(ISBLANK(M21), "", M21*VLOOKUP($F21,Internal!$B$26:$C$32,2,FALSE))</f>
        <v>62.5</v>
      </c>
      <c r="P21" s="44" t="s">
        <v>122</v>
      </c>
    </row>
    <row r="22" spans="2:16" ht="15.75" thickBot="1" x14ac:dyDescent="0.3">
      <c r="B22" s="41">
        <v>12</v>
      </c>
      <c r="C22" s="42" t="str">
        <f>IF(ISBLANK(D22), "", _xlfn.CONCAT("T", TEXT(B22, "0000"), "/", VLOOKUP(D22, Internal!$B$35:C$39, 2, FALSE), IF(OR(D22="QA", D22="Revision"), _xlfn.CONCAT("/", H22), "")))</f>
        <v>T0012/D</v>
      </c>
      <c r="D22" s="44" t="s">
        <v>37</v>
      </c>
      <c r="E22" s="43" t="s">
        <v>31</v>
      </c>
      <c r="F22" s="43" t="s">
        <v>39</v>
      </c>
      <c r="G22" s="44" t="s">
        <v>102</v>
      </c>
      <c r="H22" s="43"/>
      <c r="I22" s="46">
        <v>46146.361805555556</v>
      </c>
      <c r="J22" s="46">
        <v>46146.399305555555</v>
      </c>
      <c r="K22" s="45" t="str">
        <f t="shared" ca="1" si="0"/>
        <v>Completed</v>
      </c>
      <c r="L22" s="47">
        <v>1</v>
      </c>
      <c r="M22" s="47">
        <v>1</v>
      </c>
      <c r="N22" s="45">
        <f>IF(ISBLANK(L22), "", L22*VLOOKUP($F22,Internal!$B$26:$C$32,2,FALSE))</f>
        <v>25</v>
      </c>
      <c r="O22" s="45">
        <f>IF(ISBLANK(M22), "", M22*VLOOKUP($F22,Internal!$B$26:$C$32,2,FALSE))</f>
        <v>25</v>
      </c>
      <c r="P22" s="44" t="s">
        <v>123</v>
      </c>
    </row>
    <row r="23" spans="2:16" ht="15.75" thickBot="1" x14ac:dyDescent="0.3">
      <c r="B23" s="41">
        <v>13</v>
      </c>
      <c r="C23" s="42" t="str">
        <f>IF(ISBLANK(D23), "", _xlfn.CONCAT("T", TEXT(B23, "0000"), "/", VLOOKUP(D23, Internal!$B$35:C$39, 2, FALSE), IF(OR(D23="QA", D23="Revision"), _xlfn.CONCAT("/", H23), "")))</f>
        <v>T0013/D</v>
      </c>
      <c r="D23" s="44" t="s">
        <v>37</v>
      </c>
      <c r="E23" s="43" t="s">
        <v>53</v>
      </c>
      <c r="F23" s="43" t="s">
        <v>39</v>
      </c>
      <c r="G23" s="44" t="s">
        <v>102</v>
      </c>
      <c r="H23" s="43"/>
      <c r="I23" s="46">
        <v>46146.362500000003</v>
      </c>
      <c r="J23" s="46">
        <v>46146.402777777781</v>
      </c>
      <c r="K23" s="45" t="str">
        <f t="shared" ca="1" si="0"/>
        <v>Completed</v>
      </c>
      <c r="L23" s="47"/>
      <c r="M23" s="47"/>
      <c r="N23" s="45" t="str">
        <f>IF(ISBLANK(L23), "", L23*VLOOKUP($F23,Internal!$B$26:$C$32,2,FALSE))</f>
        <v/>
      </c>
      <c r="O23" s="45" t="str">
        <f>IF(ISBLANK(M23), "", M23*VLOOKUP($F23,Internal!$B$26:$C$32,2,FALSE))</f>
        <v/>
      </c>
      <c r="P23" s="44" t="s">
        <v>124</v>
      </c>
    </row>
    <row r="24" spans="2:16" ht="15.75" thickBot="1" x14ac:dyDescent="0.3">
      <c r="B24" s="41">
        <v>14</v>
      </c>
      <c r="C24" s="42" t="str">
        <f>IF(ISBLANK(D24), "", _xlfn.CONCAT("T", TEXT(B24, "0000"), "/", VLOOKUP(D24, Internal!$B$35:C$39, 2, FALSE), IF(OR(D24="QA", D24="Revision"), _xlfn.CONCAT("/", H24), "")))</f>
        <v>T0014/D</v>
      </c>
      <c r="D24" s="44" t="s">
        <v>37</v>
      </c>
      <c r="E24" s="43" t="s">
        <v>31</v>
      </c>
      <c r="F24" s="43" t="s">
        <v>39</v>
      </c>
      <c r="G24" s="44" t="s">
        <v>102</v>
      </c>
      <c r="H24" s="43"/>
      <c r="I24" s="46">
        <v>46147.442361111112</v>
      </c>
      <c r="J24" s="46">
        <v>46147.505555555559</v>
      </c>
      <c r="K24" s="45" t="str">
        <f t="shared" ca="1" si="0"/>
        <v>Completed</v>
      </c>
      <c r="L24" s="47">
        <v>0.25</v>
      </c>
      <c r="M24" s="47">
        <v>1.5</v>
      </c>
      <c r="N24" s="45">
        <f>IF(ISBLANK(L24), "", L24*VLOOKUP($F24,Internal!$B$26:$C$32,2,FALSE))</f>
        <v>6.25</v>
      </c>
      <c r="O24" s="45">
        <f>IF(ISBLANK(M24), "", M24*VLOOKUP($F24,Internal!$B$26:$C$32,2,FALSE))</f>
        <v>37.5</v>
      </c>
      <c r="P24" s="44" t="s">
        <v>125</v>
      </c>
    </row>
    <row r="25" spans="2:16" ht="15.75" thickBot="1" x14ac:dyDescent="0.3">
      <c r="B25" s="41">
        <v>15</v>
      </c>
      <c r="C25" s="42" t="str">
        <f>IF(ISBLANK(D25), "", _xlfn.CONCAT("T", TEXT(B25, "0000"), "/", VLOOKUP(D25, Internal!$B$35:C$39, 2, FALSE), IF(OR(D25="QA", D25="Revision"), _xlfn.CONCAT("/", H25), "")))</f>
        <v>T0015/D</v>
      </c>
      <c r="D25" s="44" t="s">
        <v>37</v>
      </c>
      <c r="E25" s="43" t="s">
        <v>31</v>
      </c>
      <c r="F25" s="43" t="s">
        <v>39</v>
      </c>
      <c r="G25" s="44" t="s">
        <v>102</v>
      </c>
      <c r="H25" s="43"/>
      <c r="I25" s="46">
        <v>46146.399305555555</v>
      </c>
      <c r="J25" s="46">
        <v>46146.444444444445</v>
      </c>
      <c r="K25" s="45" t="str">
        <f ca="1">IF(OR(I25="",J25=""),"",IF(AND(J25&lt;&gt;"",I25&gt;=NOW()),"Planned",IF(AND(J25&lt;&gt;"",J25&lt;NOW()),"Completed","Ongoing")))</f>
        <v>Completed</v>
      </c>
      <c r="L25" s="47">
        <v>1</v>
      </c>
      <c r="M25" s="47">
        <v>1</v>
      </c>
      <c r="N25" s="45">
        <f>IF(ISBLANK(L25), "", L25*VLOOKUP($F25,Internal!$B$26:$C$32,2,FALSE))</f>
        <v>25</v>
      </c>
      <c r="O25" s="45">
        <f>IF(ISBLANK(M25), "", M25*VLOOKUP($F25,Internal!$B$26:$C$32,2,FALSE))</f>
        <v>25</v>
      </c>
      <c r="P25" s="44" t="s">
        <v>126</v>
      </c>
    </row>
    <row r="26" spans="2:16" ht="15.75" thickBot="1" x14ac:dyDescent="0.3">
      <c r="B26" s="41">
        <v>16</v>
      </c>
      <c r="C26" s="42" t="str">
        <f>IF(ISBLANK(D26), "", _xlfn.CONCAT("T", TEXT(B26, "0000"), "/", VLOOKUP(D26, Internal!$B$35:C$39, 2, FALSE), IF(OR(D26="QA", D26="Revision"), _xlfn.CONCAT("/", H26), "")))</f>
        <v>T0016/D</v>
      </c>
      <c r="D26" s="44" t="s">
        <v>37</v>
      </c>
      <c r="E26" s="43" t="s">
        <v>31</v>
      </c>
      <c r="F26" s="43" t="s">
        <v>39</v>
      </c>
      <c r="G26" s="44" t="s">
        <v>48</v>
      </c>
      <c r="H26" s="43"/>
      <c r="I26" s="46">
        <v>46148.402777777781</v>
      </c>
      <c r="J26" s="46">
        <v>46148.424305555556</v>
      </c>
      <c r="K26" s="45" t="str">
        <f ca="1">IF(OR(I26="",J26=""),"",IF(AND(J26&lt;&gt;"",I26&gt;=NOW()),"Planned",IF(AND(J26&lt;&gt;"",J26&lt;NOW()),"Completed","Ongoing")))</f>
        <v>Completed</v>
      </c>
      <c r="L26" s="47">
        <v>1</v>
      </c>
      <c r="M26" s="47">
        <v>0.5</v>
      </c>
      <c r="N26" s="45">
        <f>IF(ISBLANK(L26), "", L26*VLOOKUP($F26,Internal!$B$26:$C$32,2,FALSE))</f>
        <v>25</v>
      </c>
      <c r="O26" s="45">
        <f>IF(ISBLANK(M26), "", M26*VLOOKUP($F26,Internal!$B$26:$C$32,2,FALSE))</f>
        <v>12.5</v>
      </c>
      <c r="P26" s="44" t="s">
        <v>127</v>
      </c>
    </row>
    <row r="27" spans="2:16" ht="15.75" thickBot="1" x14ac:dyDescent="0.3">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75" thickBot="1" x14ac:dyDescent="0.3">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75" thickBot="1" x14ac:dyDescent="0.3">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75" thickBot="1" x14ac:dyDescent="0.3">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75" thickBot="1" x14ac:dyDescent="0.3">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75" thickBot="1" x14ac:dyDescent="0.3">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75" thickBot="1" x14ac:dyDescent="0.3">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75" thickBot="1" x14ac:dyDescent="0.3">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75" thickBot="1" x14ac:dyDescent="0.3">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75" thickBot="1" x14ac:dyDescent="0.3">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75" thickBot="1" x14ac:dyDescent="0.3">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75" thickBot="1" x14ac:dyDescent="0.3">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75" thickBot="1" x14ac:dyDescent="0.3">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75" thickBot="1" x14ac:dyDescent="0.3">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75" thickBot="1" x14ac:dyDescent="0.3">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75" thickBot="1" x14ac:dyDescent="0.3">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75" thickBot="1" x14ac:dyDescent="0.3">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75" thickBot="1" x14ac:dyDescent="0.3">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75" thickBot="1" x14ac:dyDescent="0.3">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x14ac:dyDescent="0.3">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x14ac:dyDescent="0.3">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x14ac:dyDescent="0.3">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x14ac:dyDescent="0.3">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x14ac:dyDescent="0.3">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x14ac:dyDescent="0.3">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x14ac:dyDescent="0.3">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x14ac:dyDescent="0.3">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x14ac:dyDescent="0.3">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x14ac:dyDescent="0.3">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x14ac:dyDescent="0.3">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x14ac:dyDescent="0.3">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x14ac:dyDescent="0.3">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x14ac:dyDescent="0.3">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x14ac:dyDescent="0.3">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x14ac:dyDescent="0.3">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x14ac:dyDescent="0.3">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x14ac:dyDescent="0.3">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x14ac:dyDescent="0.3">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x14ac:dyDescent="0.3">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x14ac:dyDescent="0.3">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x14ac:dyDescent="0.3">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x14ac:dyDescent="0.3">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x14ac:dyDescent="0.3">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x14ac:dyDescent="0.3">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x14ac:dyDescent="0.3">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x14ac:dyDescent="0.3">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x14ac:dyDescent="0.3">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x14ac:dyDescent="0.3">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x14ac:dyDescent="0.3">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x14ac:dyDescent="0.3">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x14ac:dyDescent="0.3">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x14ac:dyDescent="0.3">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x14ac:dyDescent="0.3">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9.28515625" defaultRowHeight="15" x14ac:dyDescent="0.25"/>
  <cols>
    <col min="3" max="15" width="18.7109375" customWidth="1"/>
    <col min="16" max="16" width="64.5703125" customWidth="1"/>
  </cols>
  <sheetData>
    <row r="2" spans="2:16" x14ac:dyDescent="0.25">
      <c r="C2" s="56" t="s">
        <v>128</v>
      </c>
      <c r="D2" s="56"/>
      <c r="E2" s="56"/>
      <c r="F2" s="56"/>
      <c r="G2" s="56"/>
      <c r="H2" s="56"/>
      <c r="I2" s="56"/>
      <c r="J2" s="56"/>
      <c r="K2" s="56"/>
      <c r="L2" s="56"/>
      <c r="M2" s="56"/>
      <c r="N2" s="56"/>
      <c r="O2" s="56"/>
      <c r="P2" s="56"/>
    </row>
    <row r="4" spans="2:16" ht="15" customHeight="1" x14ac:dyDescent="0.25">
      <c r="C4" s="57" t="s">
        <v>10</v>
      </c>
      <c r="D4" s="57"/>
      <c r="E4" s="57"/>
      <c r="F4" s="57"/>
      <c r="G4" s="57"/>
      <c r="H4" s="57"/>
      <c r="I4" s="57"/>
      <c r="J4" s="57"/>
      <c r="K4" s="57"/>
      <c r="L4" s="57"/>
      <c r="M4" s="57"/>
      <c r="N4" s="57"/>
      <c r="O4" s="57"/>
      <c r="P4" s="57"/>
    </row>
    <row r="5" spans="2:16" x14ac:dyDescent="0.25">
      <c r="C5" s="5"/>
      <c r="D5" s="5"/>
      <c r="E5" s="5"/>
      <c r="F5" s="5"/>
      <c r="G5" s="5"/>
      <c r="H5" s="5"/>
      <c r="I5" s="5"/>
      <c r="J5" s="5"/>
      <c r="K5" s="5"/>
      <c r="L5" s="5"/>
      <c r="M5" s="5"/>
      <c r="N5" s="5"/>
      <c r="O5" s="5"/>
      <c r="P5" s="5"/>
    </row>
    <row r="6" spans="2:16" x14ac:dyDescent="0.25">
      <c r="C6" s="58" t="s">
        <v>11</v>
      </c>
      <c r="D6" s="10" t="s">
        <v>12</v>
      </c>
      <c r="E6" s="35">
        <f>SUM(N11:N110)</f>
        <v>0</v>
      </c>
      <c r="F6" s="5"/>
      <c r="G6" s="5"/>
      <c r="H6" s="5"/>
      <c r="I6" s="5"/>
      <c r="J6" s="5"/>
      <c r="K6" s="5"/>
      <c r="L6" s="5"/>
      <c r="M6" s="5"/>
      <c r="N6" s="5"/>
      <c r="O6" s="5"/>
      <c r="P6" s="5"/>
    </row>
    <row r="7" spans="2:16" x14ac:dyDescent="0.25">
      <c r="C7" s="58"/>
      <c r="D7" s="11" t="s">
        <v>13</v>
      </c>
      <c r="E7" s="36">
        <f>SUM(O11:O110)</f>
        <v>0</v>
      </c>
      <c r="J7" s="37"/>
    </row>
    <row r="9" spans="2:16" x14ac:dyDescent="0.25">
      <c r="B9" s="6"/>
      <c r="C9" s="7"/>
      <c r="D9" s="7"/>
      <c r="E9" s="7"/>
      <c r="F9" s="7"/>
      <c r="G9" s="7"/>
      <c r="H9" s="7"/>
      <c r="I9" s="59" t="s">
        <v>14</v>
      </c>
      <c r="J9" s="59"/>
      <c r="K9" s="7"/>
      <c r="L9" s="59" t="s">
        <v>15</v>
      </c>
      <c r="M9" s="59"/>
      <c r="N9" s="59" t="s">
        <v>16</v>
      </c>
      <c r="O9" s="59"/>
      <c r="P9" s="7"/>
    </row>
    <row r="10" spans="2:16" ht="15.75" thickBot="1" x14ac:dyDescent="0.3">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x14ac:dyDescent="0.3">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75" thickBot="1" x14ac:dyDescent="0.3">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75" thickBot="1" x14ac:dyDescent="0.3">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75" thickBot="1" x14ac:dyDescent="0.3">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75" thickBot="1" x14ac:dyDescent="0.3">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75" thickBot="1" x14ac:dyDescent="0.3">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75" thickBot="1" x14ac:dyDescent="0.3">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75" thickBot="1" x14ac:dyDescent="0.3">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75" thickBot="1" x14ac:dyDescent="0.3">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75" thickBot="1" x14ac:dyDescent="0.3">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75" thickBot="1" x14ac:dyDescent="0.3">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75" thickBot="1" x14ac:dyDescent="0.3">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75" thickBot="1" x14ac:dyDescent="0.3">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75" thickBot="1" x14ac:dyDescent="0.3">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75" thickBot="1" x14ac:dyDescent="0.3">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75" thickBot="1" x14ac:dyDescent="0.3">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75" thickBot="1" x14ac:dyDescent="0.3">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75" thickBot="1" x14ac:dyDescent="0.3">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75" thickBot="1" x14ac:dyDescent="0.3">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75" thickBot="1" x14ac:dyDescent="0.3">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75" thickBot="1" x14ac:dyDescent="0.3">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75" thickBot="1" x14ac:dyDescent="0.3">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75" thickBot="1" x14ac:dyDescent="0.3">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75" thickBot="1" x14ac:dyDescent="0.3">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75" thickBot="1" x14ac:dyDescent="0.3">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75" thickBot="1" x14ac:dyDescent="0.3">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75" thickBot="1" x14ac:dyDescent="0.3">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75" thickBot="1" x14ac:dyDescent="0.3">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75" thickBot="1" x14ac:dyDescent="0.3">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75" thickBot="1" x14ac:dyDescent="0.3">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75" thickBot="1" x14ac:dyDescent="0.3">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75" thickBot="1" x14ac:dyDescent="0.3">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75" thickBot="1" x14ac:dyDescent="0.3">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75" thickBot="1" x14ac:dyDescent="0.3">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75" thickBot="1" x14ac:dyDescent="0.3">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x14ac:dyDescent="0.3">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x14ac:dyDescent="0.3">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x14ac:dyDescent="0.3">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x14ac:dyDescent="0.3">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x14ac:dyDescent="0.3">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x14ac:dyDescent="0.3">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x14ac:dyDescent="0.3">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x14ac:dyDescent="0.3">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x14ac:dyDescent="0.3">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x14ac:dyDescent="0.3">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x14ac:dyDescent="0.3">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x14ac:dyDescent="0.3">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x14ac:dyDescent="0.3">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x14ac:dyDescent="0.3">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x14ac:dyDescent="0.3">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x14ac:dyDescent="0.3">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x14ac:dyDescent="0.3">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x14ac:dyDescent="0.3">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x14ac:dyDescent="0.3">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x14ac:dyDescent="0.3">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x14ac:dyDescent="0.3">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x14ac:dyDescent="0.3">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x14ac:dyDescent="0.3">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x14ac:dyDescent="0.3">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x14ac:dyDescent="0.3">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x14ac:dyDescent="0.3">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x14ac:dyDescent="0.3">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x14ac:dyDescent="0.3">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x14ac:dyDescent="0.3">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x14ac:dyDescent="0.3">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x14ac:dyDescent="0.3">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x14ac:dyDescent="0.3">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x14ac:dyDescent="0.3">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x14ac:dyDescent="0.3">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16" workbookViewId="0">
      <selection activeCell="B10" sqref="B10"/>
    </sheetView>
  </sheetViews>
  <sheetFormatPr baseColWidth="10" defaultColWidth="9.28515625" defaultRowHeight="15" x14ac:dyDescent="0.25"/>
  <cols>
    <col min="2" max="10" width="22.140625" customWidth="1"/>
  </cols>
  <sheetData>
    <row r="2" spans="2:10" x14ac:dyDescent="0.25">
      <c r="B2" s="56" t="s">
        <v>129</v>
      </c>
      <c r="C2" s="56"/>
      <c r="D2" s="56"/>
      <c r="E2" s="56"/>
      <c r="F2" s="56"/>
      <c r="G2" s="56"/>
      <c r="H2" s="56"/>
      <c r="I2" s="56"/>
      <c r="J2" s="56"/>
    </row>
    <row r="4" spans="2:10" x14ac:dyDescent="0.25">
      <c r="B4" s="57" t="s">
        <v>130</v>
      </c>
      <c r="C4" s="57"/>
      <c r="D4" s="57"/>
      <c r="E4" s="57"/>
      <c r="F4" s="57"/>
      <c r="G4" s="57"/>
      <c r="H4" s="57"/>
      <c r="I4" s="57"/>
      <c r="J4" s="57"/>
    </row>
    <row r="5" spans="2:10" x14ac:dyDescent="0.25">
      <c r="B5" s="57"/>
      <c r="C5" s="57"/>
      <c r="D5" s="57"/>
      <c r="E5" s="57"/>
      <c r="F5" s="57"/>
      <c r="G5" s="57"/>
      <c r="H5" s="57"/>
      <c r="I5" s="57"/>
      <c r="J5" s="57"/>
    </row>
    <row r="6" spans="2:10" x14ac:dyDescent="0.25">
      <c r="B6" s="57"/>
      <c r="C6" s="57"/>
      <c r="D6" s="57"/>
      <c r="E6" s="57"/>
      <c r="F6" s="57"/>
      <c r="G6" s="57"/>
      <c r="H6" s="57"/>
      <c r="I6" s="57"/>
      <c r="J6" s="57"/>
    </row>
    <row r="7" spans="2:10" x14ac:dyDescent="0.25">
      <c r="B7" s="5"/>
      <c r="C7" s="5"/>
      <c r="D7" s="5"/>
      <c r="E7" s="5"/>
      <c r="F7" s="5"/>
      <c r="G7" s="5"/>
      <c r="H7" s="5"/>
      <c r="I7" s="5"/>
      <c r="J7" s="5"/>
    </row>
    <row r="8" spans="2:10" x14ac:dyDescent="0.25">
      <c r="B8" s="25" t="s">
        <v>131</v>
      </c>
      <c r="C8" s="12"/>
      <c r="D8" s="12"/>
      <c r="E8" s="12"/>
      <c r="F8" s="12"/>
      <c r="G8" s="12"/>
      <c r="H8" s="12"/>
      <c r="I8" s="12"/>
      <c r="J8" s="12"/>
    </row>
    <row r="9" spans="2:10" x14ac:dyDescent="0.25">
      <c r="B9" s="13" t="s">
        <v>31</v>
      </c>
      <c r="C9" s="12"/>
      <c r="D9" s="12"/>
      <c r="E9" s="12"/>
      <c r="F9" s="12"/>
      <c r="G9" s="12"/>
      <c r="H9" s="12"/>
      <c r="I9" s="12"/>
      <c r="J9" s="12"/>
    </row>
    <row r="10" spans="2:10" x14ac:dyDescent="0.25">
      <c r="B10" s="13" t="s">
        <v>53</v>
      </c>
      <c r="C10" s="12"/>
      <c r="D10" s="12"/>
      <c r="E10" s="12"/>
      <c r="F10" s="12"/>
      <c r="G10" s="12"/>
      <c r="H10" s="12"/>
      <c r="I10" s="12"/>
      <c r="J10" s="12"/>
    </row>
    <row r="11" spans="2:10" x14ac:dyDescent="0.25">
      <c r="B11" s="13" t="s">
        <v>38</v>
      </c>
      <c r="C11" s="12"/>
      <c r="D11" s="12"/>
      <c r="E11" s="12"/>
      <c r="F11" s="12"/>
      <c r="G11" s="12"/>
      <c r="H11" s="12"/>
      <c r="I11" s="12"/>
      <c r="J11" s="12"/>
    </row>
    <row r="12" spans="2:10" x14ac:dyDescent="0.25">
      <c r="B12" s="13" t="s">
        <v>58</v>
      </c>
      <c r="C12" s="12"/>
      <c r="D12" s="12"/>
      <c r="E12" s="12"/>
      <c r="F12" s="12"/>
      <c r="G12" s="12"/>
      <c r="H12" s="12"/>
      <c r="I12" s="12"/>
      <c r="J12" s="12"/>
    </row>
    <row r="13" spans="2:10" x14ac:dyDescent="0.25">
      <c r="B13" s="13" t="s">
        <v>61</v>
      </c>
      <c r="C13" s="12"/>
      <c r="D13" s="12"/>
      <c r="E13" s="12"/>
      <c r="F13" s="12"/>
      <c r="G13" s="12"/>
      <c r="H13" s="12"/>
      <c r="I13" s="12"/>
      <c r="J13" s="12"/>
    </row>
    <row r="14" spans="2:10" x14ac:dyDescent="0.25">
      <c r="B14" s="14" t="s">
        <v>66</v>
      </c>
      <c r="C14" s="12"/>
      <c r="D14" s="12"/>
      <c r="E14" s="12"/>
      <c r="F14" s="12"/>
      <c r="G14" s="12"/>
      <c r="H14" s="12"/>
      <c r="I14" s="12"/>
      <c r="J14" s="12"/>
    </row>
    <row r="15" spans="2:10" x14ac:dyDescent="0.25">
      <c r="B15" s="3"/>
      <c r="C15" s="12"/>
      <c r="D15" s="12"/>
      <c r="E15" s="12"/>
      <c r="F15" s="12"/>
      <c r="G15" s="12"/>
      <c r="H15" s="12"/>
      <c r="I15" s="12"/>
      <c r="J15" s="12"/>
    </row>
    <row r="16" spans="2:10" x14ac:dyDescent="0.25">
      <c r="B16" s="26" t="s">
        <v>132</v>
      </c>
      <c r="C16" s="12"/>
      <c r="D16" s="12"/>
      <c r="E16" s="12"/>
      <c r="F16" s="12"/>
      <c r="G16" s="12"/>
      <c r="H16" s="12"/>
      <c r="I16" s="12"/>
      <c r="J16" s="12"/>
    </row>
    <row r="17" spans="2:10" x14ac:dyDescent="0.25">
      <c r="B17" s="15" t="s">
        <v>133</v>
      </c>
      <c r="C17" s="12"/>
      <c r="D17" s="12"/>
      <c r="E17" s="12"/>
      <c r="F17" s="12"/>
      <c r="G17" s="12"/>
      <c r="H17" s="12"/>
      <c r="I17" s="12"/>
      <c r="J17" s="12"/>
    </row>
    <row r="18" spans="2:10" x14ac:dyDescent="0.25">
      <c r="B18" s="15" t="s">
        <v>134</v>
      </c>
      <c r="C18" s="12"/>
      <c r="D18" s="12"/>
      <c r="E18" s="12"/>
      <c r="F18" s="12"/>
      <c r="G18" s="12"/>
      <c r="H18" s="12"/>
      <c r="I18" s="12"/>
      <c r="J18" s="12"/>
    </row>
    <row r="19" spans="2:10" x14ac:dyDescent="0.25">
      <c r="B19" s="16" t="s">
        <v>135</v>
      </c>
      <c r="C19" s="12"/>
      <c r="D19" s="12"/>
      <c r="E19" s="12"/>
      <c r="F19" s="12"/>
      <c r="G19" s="12"/>
      <c r="H19" s="12"/>
      <c r="I19" s="12"/>
      <c r="J19" s="12"/>
    </row>
    <row r="20" spans="2:10" x14ac:dyDescent="0.25">
      <c r="B20" s="3"/>
      <c r="C20" s="12"/>
      <c r="D20" s="12"/>
      <c r="E20" s="12"/>
      <c r="F20" s="12"/>
      <c r="G20" s="12"/>
      <c r="H20" s="12"/>
      <c r="I20" s="12"/>
      <c r="J20" s="12"/>
    </row>
    <row r="21" spans="2:10" x14ac:dyDescent="0.25">
      <c r="B21" s="26" t="s">
        <v>136</v>
      </c>
      <c r="C21" s="12"/>
      <c r="D21" s="12"/>
      <c r="E21" s="12"/>
      <c r="F21" s="12"/>
      <c r="G21" s="12"/>
      <c r="H21" s="12"/>
      <c r="I21" s="12"/>
      <c r="J21" s="12"/>
    </row>
    <row r="22" spans="2:10" x14ac:dyDescent="0.25">
      <c r="B22" s="17">
        <v>45658</v>
      </c>
      <c r="C22" s="12"/>
      <c r="D22" s="12"/>
      <c r="E22" s="12"/>
      <c r="F22" s="12"/>
      <c r="G22" s="12"/>
      <c r="H22" s="12"/>
      <c r="I22" s="12"/>
      <c r="J22" s="12"/>
    </row>
    <row r="23" spans="2:10" x14ac:dyDescent="0.25">
      <c r="B23" s="18" t="s">
        <v>137</v>
      </c>
      <c r="C23" s="12"/>
      <c r="D23" s="12"/>
      <c r="E23" s="12"/>
      <c r="F23" s="12"/>
      <c r="G23" s="12"/>
      <c r="H23" s="12"/>
      <c r="I23" s="12"/>
      <c r="J23" s="12"/>
    </row>
    <row r="24" spans="2:10" x14ac:dyDescent="0.25">
      <c r="B24" s="12"/>
      <c r="C24" s="12"/>
      <c r="D24" s="12"/>
      <c r="E24" s="12"/>
      <c r="F24" s="12"/>
      <c r="G24" s="12"/>
      <c r="H24" s="12"/>
      <c r="I24" s="12"/>
      <c r="J24" s="12"/>
    </row>
    <row r="25" spans="2:10" x14ac:dyDescent="0.25">
      <c r="B25" s="27" t="s">
        <v>138</v>
      </c>
      <c r="C25" s="28" t="s">
        <v>139</v>
      </c>
      <c r="D25" s="28" t="s">
        <v>140</v>
      </c>
      <c r="E25" s="29"/>
      <c r="F25" s="29"/>
      <c r="G25" s="29"/>
      <c r="H25" s="29"/>
      <c r="I25" s="29"/>
      <c r="J25" s="30"/>
    </row>
    <row r="26" spans="2:10" x14ac:dyDescent="0.25">
      <c r="B26" s="19" t="s">
        <v>75</v>
      </c>
      <c r="C26" s="51">
        <v>0</v>
      </c>
      <c r="D26" s="12" t="s">
        <v>76</v>
      </c>
      <c r="E26" s="12" t="s">
        <v>141</v>
      </c>
      <c r="F26" s="12" t="s">
        <v>142</v>
      </c>
      <c r="G26" s="12" t="s">
        <v>102</v>
      </c>
      <c r="H26" s="12"/>
      <c r="I26" s="12"/>
      <c r="J26" s="20"/>
    </row>
    <row r="27" spans="2:10" x14ac:dyDescent="0.25">
      <c r="B27" s="19" t="s">
        <v>32</v>
      </c>
      <c r="C27" s="51">
        <v>50</v>
      </c>
      <c r="D27" s="12" t="s">
        <v>46</v>
      </c>
      <c r="E27" s="12" t="s">
        <v>79</v>
      </c>
      <c r="F27" s="12" t="s">
        <v>33</v>
      </c>
      <c r="G27" s="12" t="s">
        <v>143</v>
      </c>
      <c r="H27" s="12" t="s">
        <v>35</v>
      </c>
      <c r="I27" s="12" t="s">
        <v>102</v>
      </c>
      <c r="J27" s="20"/>
    </row>
    <row r="28" spans="2:10" x14ac:dyDescent="0.25">
      <c r="B28" s="19" t="s">
        <v>144</v>
      </c>
      <c r="C28" s="51">
        <v>40</v>
      </c>
      <c r="D28" s="12" t="s">
        <v>145</v>
      </c>
      <c r="E28" s="12" t="s">
        <v>146</v>
      </c>
      <c r="F28" s="12" t="s">
        <v>147</v>
      </c>
      <c r="G28" s="12" t="s">
        <v>35</v>
      </c>
      <c r="H28" s="12" t="s">
        <v>102</v>
      </c>
      <c r="I28" s="12"/>
      <c r="J28" s="20"/>
    </row>
    <row r="29" spans="2:10" x14ac:dyDescent="0.25">
      <c r="B29" s="19" t="s">
        <v>39</v>
      </c>
      <c r="C29" s="51">
        <v>25</v>
      </c>
      <c r="D29" s="12" t="s">
        <v>148</v>
      </c>
      <c r="E29" s="12" t="s">
        <v>40</v>
      </c>
      <c r="F29" s="12" t="s">
        <v>48</v>
      </c>
      <c r="G29" s="12" t="s">
        <v>72</v>
      </c>
      <c r="H29" s="12" t="s">
        <v>35</v>
      </c>
      <c r="I29" s="12" t="s">
        <v>102</v>
      </c>
      <c r="J29" s="20"/>
    </row>
    <row r="30" spans="2:10" x14ac:dyDescent="0.25">
      <c r="B30" s="19" t="s">
        <v>149</v>
      </c>
      <c r="C30" s="51">
        <v>30</v>
      </c>
      <c r="D30" s="12" t="s">
        <v>150</v>
      </c>
      <c r="E30" s="12" t="s">
        <v>151</v>
      </c>
      <c r="F30" s="12" t="s">
        <v>152</v>
      </c>
      <c r="G30" s="12" t="s">
        <v>153</v>
      </c>
      <c r="H30" s="12" t="s">
        <v>35</v>
      </c>
      <c r="I30" s="12" t="s">
        <v>102</v>
      </c>
      <c r="J30" s="20"/>
    </row>
    <row r="31" spans="2:10" x14ac:dyDescent="0.25">
      <c r="B31" s="21" t="s">
        <v>154</v>
      </c>
      <c r="C31" s="51">
        <v>30</v>
      </c>
      <c r="D31" s="12" t="s">
        <v>155</v>
      </c>
      <c r="E31" s="12" t="s">
        <v>156</v>
      </c>
      <c r="F31" s="12" t="s">
        <v>157</v>
      </c>
      <c r="G31" s="12" t="s">
        <v>158</v>
      </c>
      <c r="H31" s="12" t="s">
        <v>159</v>
      </c>
      <c r="I31" s="12" t="s">
        <v>35</v>
      </c>
      <c r="J31" s="20" t="s">
        <v>102</v>
      </c>
    </row>
    <row r="32" spans="2:10" x14ac:dyDescent="0.25">
      <c r="B32" s="22" t="s">
        <v>160</v>
      </c>
      <c r="C32" s="52">
        <v>10</v>
      </c>
      <c r="D32" s="23" t="s">
        <v>102</v>
      </c>
      <c r="E32" s="23"/>
      <c r="F32" s="23"/>
      <c r="G32" s="23"/>
      <c r="H32" s="23"/>
      <c r="I32" s="23"/>
      <c r="J32" s="24"/>
    </row>
    <row r="33" spans="2:10" x14ac:dyDescent="0.25">
      <c r="B33" s="12"/>
      <c r="C33" s="12"/>
      <c r="D33" s="12"/>
      <c r="E33" s="12"/>
      <c r="F33" s="12"/>
      <c r="G33" s="12"/>
      <c r="H33" s="12"/>
      <c r="I33" s="12"/>
      <c r="J33" s="12"/>
    </row>
    <row r="34" spans="2:10" x14ac:dyDescent="0.25">
      <c r="B34" s="33" t="s">
        <v>161</v>
      </c>
      <c r="C34" s="34" t="s">
        <v>162</v>
      </c>
      <c r="D34" s="12"/>
      <c r="E34" s="12"/>
      <c r="F34" s="12"/>
      <c r="G34" s="12"/>
      <c r="H34" s="12"/>
      <c r="I34" s="12"/>
      <c r="J34" s="12"/>
    </row>
    <row r="35" spans="2:10" x14ac:dyDescent="0.25">
      <c r="B35" s="21" t="s">
        <v>30</v>
      </c>
      <c r="C35" s="31" t="s">
        <v>163</v>
      </c>
      <c r="D35" s="12"/>
      <c r="E35" s="12"/>
      <c r="F35" s="12"/>
      <c r="G35" s="12"/>
      <c r="H35" s="12"/>
      <c r="I35" s="12"/>
      <c r="J35" s="12"/>
    </row>
    <row r="36" spans="2:10" x14ac:dyDescent="0.25">
      <c r="B36" s="21" t="s">
        <v>37</v>
      </c>
      <c r="C36" s="20" t="s">
        <v>164</v>
      </c>
      <c r="D36" s="12"/>
      <c r="E36" s="12"/>
      <c r="F36" s="12"/>
      <c r="G36" s="12"/>
      <c r="H36" s="12"/>
      <c r="I36" s="12"/>
      <c r="J36" s="12"/>
    </row>
    <row r="37" spans="2:10" x14ac:dyDescent="0.25">
      <c r="B37" s="21" t="s">
        <v>165</v>
      </c>
      <c r="C37" s="20" t="s">
        <v>165</v>
      </c>
      <c r="D37" s="12"/>
      <c r="E37" s="12"/>
      <c r="F37" s="12"/>
      <c r="G37" s="12"/>
      <c r="H37" s="12"/>
      <c r="I37" s="12"/>
      <c r="J37" s="12"/>
    </row>
    <row r="38" spans="2:10" x14ac:dyDescent="0.25">
      <c r="B38" s="21" t="s">
        <v>74</v>
      </c>
      <c r="C38" s="20" t="s">
        <v>166</v>
      </c>
      <c r="D38" s="12"/>
      <c r="E38" s="12"/>
      <c r="F38" s="12"/>
      <c r="G38" s="12"/>
      <c r="H38" s="12"/>
      <c r="I38" s="12"/>
      <c r="J38" s="12"/>
    </row>
    <row r="39" spans="2:10" x14ac:dyDescent="0.25">
      <c r="B39" s="32" t="s">
        <v>160</v>
      </c>
      <c r="C39" s="24" t="s">
        <v>167</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D5D270F165CDC4A813E57A434418B09" ma:contentTypeVersion="13" ma:contentTypeDescription="Crear nuevo documento." ma:contentTypeScope="" ma:versionID="6ed8c571966b9827c2f4c920c5f93c32">
  <xsd:schema xmlns:xsd="http://www.w3.org/2001/XMLSchema" xmlns:xs="http://www.w3.org/2001/XMLSchema" xmlns:p="http://schemas.microsoft.com/office/2006/metadata/properties" xmlns:ns3="03ae2d87-6db6-4be4-88e5-dbaddc28be73" xmlns:ns4="f9914671-1c67-425d-8130-55177899a278" targetNamespace="http://schemas.microsoft.com/office/2006/metadata/properties" ma:root="true" ma:fieldsID="d3c60be3fe4143b94f946cc5c4a96dc8" ns3:_="" ns4:_="">
    <xsd:import namespace="03ae2d87-6db6-4be4-88e5-dbaddc28be73"/>
    <xsd:import namespace="f9914671-1c67-425d-8130-55177899a278"/>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ae2d87-6db6-4be4-88e5-dbaddc28be7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914671-1c67-425d-8130-55177899a278"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SharingHintHash" ma:index="20"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3ae2d87-6db6-4be4-88e5-dbaddc28be73" xsi:nil="true"/>
  </documentManagement>
</p:properties>
</file>

<file path=customXml/itemProps1.xml><?xml version="1.0" encoding="utf-8"?>
<ds:datastoreItem xmlns:ds="http://schemas.openxmlformats.org/officeDocument/2006/customXml" ds:itemID="{EBF4B177-136A-4B5E-9CEE-7C2817EBEF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ae2d87-6db6-4be4-88e5-dbaddc28be73"/>
    <ds:schemaRef ds:uri="f9914671-1c67-425d-8130-55177899a2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922CC8-4B98-4DC4-8316-4B594EF99561}">
  <ds:schemaRefs>
    <ds:schemaRef ds:uri="http://schemas.microsoft.com/sharepoint/v3/contenttype/forms"/>
  </ds:schemaRefs>
</ds:datastoreItem>
</file>

<file path=customXml/itemProps3.xml><?xml version="1.0" encoding="utf-8"?>
<ds:datastoreItem xmlns:ds="http://schemas.openxmlformats.org/officeDocument/2006/customXml" ds:itemID="{62A9DD66-DB84-4B71-BBB5-740469C343F7}">
  <ds:schemaRefs>
    <ds:schemaRef ds:uri="http://schemas.microsoft.com/office/2006/documentManagement/types"/>
    <ds:schemaRef ds:uri="http://schemas.microsoft.com/office/2006/metadata/properties"/>
    <ds:schemaRef ds:uri="http://purl.org/dc/dcmitype/"/>
    <ds:schemaRef ds:uri="http://purl.org/dc/elements/1.1/"/>
    <ds:schemaRef ds:uri="03ae2d87-6db6-4be4-88e5-dbaddc28be73"/>
    <ds:schemaRef ds:uri="f9914671-1c67-425d-8130-55177899a278"/>
    <ds:schemaRef ds:uri="http://schemas.openxmlformats.org/package/2006/metadata/core-properties"/>
    <ds:schemaRef ds:uri="http://www.w3.org/XML/1998/namespace"/>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PABLO MURILLO MORALES</cp:lastModifiedBy>
  <cp:revision/>
  <dcterms:created xsi:type="dcterms:W3CDTF">2024-04-15T09:22:17Z</dcterms:created>
  <dcterms:modified xsi:type="dcterms:W3CDTF">2026-05-08T19:20:59Z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0x010100DD5D270F165CDC4A813E57A434418B09</vt:lpwstr>
  </property>
</Properties>
</file>